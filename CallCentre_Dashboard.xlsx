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y\Downloads\"/>
    </mc:Choice>
  </mc:AlternateContent>
  <xr:revisionPtr revIDLastSave="0" documentId="13_ncr:1_{310A3B9A-FF17-4C6D-B6EF-1B24A25DEB6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Raw_Data" sheetId="2" r:id="rId2"/>
    <sheet name="KPI_Summary" sheetId="3" r:id="rId3"/>
    <sheet name="Chart_Data" sheetId="4" r:id="rId4"/>
    <sheet name="Agent_Performance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5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4" i="5"/>
  <c r="I24" i="5"/>
  <c r="H24" i="5"/>
  <c r="G24" i="5"/>
  <c r="F24" i="5"/>
  <c r="E24" i="5"/>
  <c r="D24" i="5"/>
  <c r="C24" i="5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G12" i="4"/>
  <c r="F12" i="4"/>
  <c r="E12" i="4"/>
  <c r="D12" i="4"/>
  <c r="C12" i="4"/>
  <c r="B12" i="4"/>
  <c r="A12" i="4"/>
  <c r="J11" i="4"/>
  <c r="I11" i="4"/>
  <c r="H11" i="4"/>
  <c r="G11" i="4"/>
  <c r="F11" i="4"/>
  <c r="E11" i="4"/>
  <c r="D11" i="4"/>
  <c r="C11" i="4"/>
  <c r="B11" i="4"/>
  <c r="A11" i="4"/>
  <c r="J10" i="4"/>
  <c r="I10" i="4"/>
  <c r="H10" i="4"/>
  <c r="G10" i="4"/>
  <c r="F10" i="4"/>
  <c r="E10" i="4"/>
  <c r="D10" i="4"/>
  <c r="C10" i="4"/>
  <c r="B10" i="4"/>
  <c r="A10" i="4"/>
  <c r="J9" i="4"/>
  <c r="I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D7" i="4"/>
  <c r="C7" i="4"/>
  <c r="B7" i="4"/>
  <c r="A7" i="4"/>
  <c r="J6" i="4"/>
  <c r="I6" i="4"/>
  <c r="H6" i="4"/>
  <c r="G6" i="4"/>
  <c r="F6" i="4"/>
  <c r="E6" i="4"/>
  <c r="D6" i="4"/>
  <c r="C6" i="4"/>
  <c r="B6" i="4"/>
  <c r="A6" i="4"/>
  <c r="J5" i="4"/>
  <c r="I5" i="4"/>
  <c r="H5" i="4"/>
  <c r="G5" i="4"/>
  <c r="F5" i="4"/>
  <c r="E5" i="4"/>
  <c r="D5" i="4"/>
  <c r="C5" i="4"/>
  <c r="B5" i="4"/>
  <c r="A5" i="4"/>
  <c r="J4" i="4"/>
  <c r="I4" i="4"/>
  <c r="H4" i="4"/>
  <c r="G4" i="4"/>
  <c r="F4" i="4"/>
  <c r="E4" i="4"/>
  <c r="D4" i="4"/>
  <c r="C4" i="4"/>
  <c r="B4" i="4"/>
  <c r="A4" i="4"/>
  <c r="J3" i="4"/>
  <c r="I3" i="4"/>
  <c r="H3" i="4"/>
  <c r="G3" i="4"/>
  <c r="F3" i="4"/>
  <c r="E3" i="4"/>
  <c r="D3" i="4"/>
  <c r="C3" i="4"/>
  <c r="B3" i="4"/>
  <c r="A3" i="4"/>
  <c r="J2" i="4"/>
  <c r="I2" i="4"/>
  <c r="H2" i="4"/>
  <c r="G2" i="4"/>
  <c r="F2" i="4"/>
  <c r="E2" i="4"/>
  <c r="D2" i="4"/>
  <c r="C2" i="4"/>
  <c r="B2" i="4"/>
  <c r="A2" i="4"/>
  <c r="O17" i="3"/>
  <c r="O5" i="1" s="1"/>
  <c r="K17" i="3"/>
  <c r="K5" i="1" s="1"/>
  <c r="G17" i="3"/>
  <c r="G5" i="1" s="1"/>
  <c r="C17" i="3"/>
  <c r="C5" i="1" s="1"/>
  <c r="O16" i="3"/>
  <c r="P16" i="3" s="1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P15" i="3" s="1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P14" i="3" s="1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O13" i="3"/>
  <c r="P13" i="3" s="1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P12" i="3" s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P11" i="3" s="1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10" i="3"/>
  <c r="P10" i="3" s="1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O9" i="3"/>
  <c r="P9" i="3" s="1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O8" i="3"/>
  <c r="P8" i="3" s="1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O7" i="3"/>
  <c r="P7" i="3" s="1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O6" i="3"/>
  <c r="P6" i="3" s="1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O5" i="3"/>
  <c r="N5" i="3"/>
  <c r="N17" i="3" s="1"/>
  <c r="M5" i="3"/>
  <c r="M17" i="3" s="1"/>
  <c r="M5" i="1" s="1"/>
  <c r="L5" i="3"/>
  <c r="L17" i="3" s="1"/>
  <c r="K5" i="3"/>
  <c r="J5" i="3"/>
  <c r="J17" i="3" s="1"/>
  <c r="I5" i="3"/>
  <c r="I17" i="3" s="1"/>
  <c r="H5" i="3"/>
  <c r="H17" i="3" s="1"/>
  <c r="I5" i="1" s="1"/>
  <c r="G5" i="3"/>
  <c r="F5" i="3"/>
  <c r="F17" i="3" s="1"/>
  <c r="E5" i="3"/>
  <c r="E17" i="3" s="1"/>
  <c r="E5" i="1" s="1"/>
  <c r="D5" i="3"/>
  <c r="D17" i="3" s="1"/>
  <c r="C5" i="3"/>
  <c r="B5" i="3"/>
  <c r="B17" i="3" s="1"/>
  <c r="A5" i="1" s="1"/>
  <c r="A5" i="3"/>
</calcChain>
</file>

<file path=xl/sharedStrings.xml><?xml version="1.0" encoding="utf-8"?>
<sst xmlns="http://schemas.openxmlformats.org/spreadsheetml/2006/main" count="127" uniqueCount="88">
  <si>
    <t>FY 2024 Annual</t>
  </si>
  <si>
    <t>Month</t>
  </si>
  <si>
    <t>Total_Calls</t>
  </si>
  <si>
    <t>Calls_Answered</t>
  </si>
  <si>
    <t>Calls_Abandoned</t>
  </si>
  <si>
    <t>Avg_Handle_Time_sec</t>
  </si>
  <si>
    <t>First_Call_Resolution_%</t>
  </si>
  <si>
    <t>CSAT_Score</t>
  </si>
  <si>
    <t>Agents_Available</t>
  </si>
  <si>
    <t>Avg_Speed_Answer_sec</t>
  </si>
  <si>
    <t>SLA_%</t>
  </si>
  <si>
    <t>Occupancy_%</t>
  </si>
  <si>
    <t>After_Call_Work_sec</t>
  </si>
  <si>
    <t>Escalations</t>
  </si>
  <si>
    <t>Complaints</t>
  </si>
  <si>
    <t>Revenue_MWK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</si>
  <si>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</si>
  <si>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</si>
  <si>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</si>
  <si>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</si>
  <si>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</si>
  <si>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</si>
  <si>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</si>
  <si>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</si>
  <si>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</si>
  <si>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</si>
  <si>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</si>
  <si>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</si>
  <si>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Total Calls</t>
  </si>
  <si>
    <t>Answered</t>
  </si>
  <si>
    <t>Abandoned</t>
  </si>
  <si>
    <t>Abandon Rate</t>
  </si>
  <si>
    <t>AHT (sec)</t>
  </si>
  <si>
    <t>FCR %</t>
  </si>
  <si>
    <t>CSAT</t>
  </si>
  <si>
    <t>Agents</t>
  </si>
  <si>
    <t>ASA (sec)</t>
  </si>
  <si>
    <t>SLA %</t>
  </si>
  <si>
    <t>Occupancy %</t>
  </si>
  <si>
    <t>Revenue (MWK)</t>
  </si>
  <si>
    <t>MoM Revenue Δ</t>
  </si>
  <si>
    <t>N/A</t>
  </si>
  <si>
    <t>FY 2024 TOTAL / AVG</t>
  </si>
  <si>
    <t>Abandon_Rate</t>
  </si>
  <si>
    <t>FCR_%</t>
  </si>
  <si>
    <t>TNM PLC – AGENT WORKFORCE PRODUCTIVITY REPORT  |  FY 2024</t>
  </si>
  <si>
    <t>Team</t>
  </si>
  <si>
    <t>Calls Handled</t>
  </si>
  <si>
    <t>CSAT Score</t>
  </si>
  <si>
    <t>Performance Tier</t>
  </si>
  <si>
    <t>Team C</t>
  </si>
  <si>
    <t>Team D</t>
  </si>
  <si>
    <t>Team B</t>
  </si>
  <si>
    <t>Team A</t>
  </si>
  <si>
    <t>TEAM AVERAGE</t>
  </si>
  <si>
    <t>Data Analyst Portfolio Project</t>
  </si>
  <si>
    <t>Total Calls (FY 2024)</t>
  </si>
  <si>
    <t>Calls Answered</t>
  </si>
  <si>
    <t>Avg Abandon Rate</t>
  </si>
  <si>
    <t>Avg FCR</t>
  </si>
  <si>
    <t>Avg CSAT Score</t>
  </si>
  <si>
    <t>Avg SLA %</t>
  </si>
  <si>
    <t>Total Escalations</t>
  </si>
  <si>
    <t>Total Revenue (MWK)</t>
  </si>
  <si>
    <t>CALL CENTRE ANALYTICS DASHBOARD  |  FY 2024</t>
  </si>
  <si>
    <t>Data Analyst – Monthly KPI Summary</t>
  </si>
  <si>
    <t>CALL CENTRE PERFORMANCE DASHBOARD  |  FY 2024</t>
  </si>
  <si>
    <t>Agent I.D</t>
  </si>
  <si>
    <t>ID 001</t>
  </si>
  <si>
    <t>ID 002</t>
  </si>
  <si>
    <t>ID 003</t>
  </si>
  <si>
    <t>ID 004</t>
  </si>
  <si>
    <t>ID 005</t>
  </si>
  <si>
    <t>ID 006</t>
  </si>
  <si>
    <t>ID 007</t>
  </si>
  <si>
    <t>ID 008</t>
  </si>
  <si>
    <t>ID 009</t>
  </si>
  <si>
    <t>ID 010</t>
  </si>
  <si>
    <t>ID 011</t>
  </si>
  <si>
    <t>ID 012</t>
  </si>
  <si>
    <t>ID 013</t>
  </si>
  <si>
    <t>ID 014</t>
  </si>
  <si>
    <t>ID 015</t>
  </si>
  <si>
    <t>ID 016</t>
  </si>
  <si>
    <t>ID 017</t>
  </si>
  <si>
    <t>ID 018</t>
  </si>
  <si>
    <t>ID 019</t>
  </si>
  <si>
    <t>ID 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</si>
</sst>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,###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22"/>
      <color rgb="FFFFFFFF"/>
      <name val="Arial"/>
      <charset val="1"/>
    </font>
    <font>
      <i/>
      <sz val="8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6"/>
      <color rgb="FFFFFFFF"/>
      <name val="Arial"/>
      <charset val="1"/>
    </font>
    <font>
      <i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i/>
      <sz val="11"/>
      <color rgb="FF000000"/>
      <name val="Arial"/>
      <charset val="1"/>
    </font>
    <font>
      <b/>
      <sz val="14"/>
      <color rgb="FFFFFFFF"/>
      <name val="Arial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>
      <alignment horizontal="center" vertical="center"/>
    </xf>
    <xf numFmtId="166" fontId="7" fillId="7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165" fontId="7" fillId="8" borderId="3" xfId="0" applyNumberFormat="1" applyFont="1" applyFill="1" applyBorder="1" applyAlignment="1">
      <alignment horizontal="center" vertical="center"/>
    </xf>
    <xf numFmtId="166" fontId="7" fillId="8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3" fontId="6" fillId="6" borderId="3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0" fontId="0" fillId="6" borderId="0" xfId="0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7" fillId="7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Call Volume: Answered vs Abandoned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Chart_Data!$C$1</c:f>
              <c:strCache>
                <c:ptCount val="1"/>
                <c:pt idx="0">
                  <c:v>Answered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Chart_Data!$C$2:$C$13</c:f>
              <c:numCache>
                <c:formatCode>#,##0</c:formatCode>
                <c:ptCount val="12"/>
                <c:pt idx="0">
                  <c:v>18184</c:v>
                </c:pt>
                <c:pt idx="1">
                  <c:v>18167</c:v>
                </c:pt>
                <c:pt idx="2">
                  <c:v>16780</c:v>
                </c:pt>
                <c:pt idx="3">
                  <c:v>17762</c:v>
                </c:pt>
                <c:pt idx="4">
                  <c:v>15002</c:v>
                </c:pt>
                <c:pt idx="5">
                  <c:v>15778</c:v>
                </c:pt>
                <c:pt idx="6">
                  <c:v>18506</c:v>
                </c:pt>
                <c:pt idx="7">
                  <c:v>16052</c:v>
                </c:pt>
                <c:pt idx="8">
                  <c:v>14875</c:v>
                </c:pt>
                <c:pt idx="9">
                  <c:v>17715</c:v>
                </c:pt>
                <c:pt idx="10">
                  <c:v>18411</c:v>
                </c:pt>
                <c:pt idx="11">
                  <c:v>15929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25F-8428-4C6809A00FDD}"/>
            </c:ext>
          </c:extLst>
        </c:ser>
        <c:ser>
          <c:idx val="1"/>
          <c:order val="1"/>
          <c:tx>
            <c:strRef>
              <c:f>Chart_Data!$D$1</c:f>
              <c:strCache>
                <c:ptCount val="1"/>
                <c:pt idx="0">
                  <c:v>Abandoned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Chart_Data!$D$2:$D$13</c:f>
              <c:numCache>
                <c:formatCode>#,##0</c:formatCode>
                <c:ptCount val="12"/>
                <c:pt idx="0">
                  <c:v>935</c:v>
                </c:pt>
                <c:pt idx="1">
                  <c:v>798</c:v>
                </c:pt>
                <c:pt idx="2">
                  <c:v>1113</c:v>
                </c:pt>
                <c:pt idx="3">
                  <c:v>934</c:v>
                </c:pt>
                <c:pt idx="4">
                  <c:v>1824</c:v>
                </c:pt>
                <c:pt idx="5">
                  <c:v>1422</c:v>
                </c:pt>
                <c:pt idx="6">
                  <c:v>1291</c:v>
                </c:pt>
                <c:pt idx="7">
                  <c:v>1019</c:v>
                </c:pt>
                <c:pt idx="8">
                  <c:v>1817</c:v>
                </c:pt>
                <c:pt idx="9">
                  <c:v>2310</c:v>
                </c:pt>
                <c:pt idx="10">
                  <c:v>1995</c:v>
                </c:pt>
                <c:pt idx="11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B-425F-8428-4C6809A0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099903"/>
        <c:axId val="47460653"/>
      </c:barChart>
      <c:catAx>
        <c:axId val="64099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60653"/>
        <c:crosses val="autoZero"/>
        <c:auto val="1"/>
        <c:lblAlgn val="ctr"/>
        <c:lblOffset val="100"/>
        <c:noMultiLvlLbl val="0"/>
      </c:catAx>
      <c:valAx>
        <c:axId val="47460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99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FCR % vs SLA % – 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FCR_%</c:v>
                </c:pt>
              </c:strCache>
            </c:strRef>
          </c:tx>
          <c:spPr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Chart_Data!$F$2:$F$13</c:f>
              <c:numCache>
                <c:formatCode>0.0%</c:formatCode>
                <c:ptCount val="12"/>
                <c:pt idx="0">
                  <c:v>0.73499999999999999</c:v>
                </c:pt>
                <c:pt idx="1">
                  <c:v>0.82299999999999995</c:v>
                </c:pt>
                <c:pt idx="2">
                  <c:v>0.871</c:v>
                </c:pt>
                <c:pt idx="3">
                  <c:v>0.69599999999999995</c:v>
                </c:pt>
                <c:pt idx="4">
                  <c:v>0.7</c:v>
                </c:pt>
                <c:pt idx="5">
                  <c:v>0.71299999999999997</c:v>
                </c:pt>
                <c:pt idx="6">
                  <c:v>0.69299999999999995</c:v>
                </c:pt>
                <c:pt idx="7">
                  <c:v>0.78800000000000003</c:v>
                </c:pt>
                <c:pt idx="8">
                  <c:v>0.80500000000000005</c:v>
                </c:pt>
                <c:pt idx="9">
                  <c:v>0.82399999999999995</c:v>
                </c:pt>
                <c:pt idx="10">
                  <c:v>0.73299999999999998</c:v>
                </c:pt>
                <c:pt idx="11">
                  <c:v>0.78800000000000003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CD-4576-95CE-53DD405A3144}"/>
            </c:ext>
          </c:extLst>
        </c:ser>
        <c:ser>
          <c:idx val="1"/>
          <c:order val="1"/>
          <c:tx>
            <c:strRef>
              <c:f>Chart_Data!$H$1</c:f>
              <c:strCache>
                <c:ptCount val="1"/>
                <c:pt idx="0">
                  <c:v>SLA_%</c:v>
                </c:pt>
              </c:strCache>
            </c:strRef>
          </c:tx>
          <c:spPr>
            <a:ln w="2484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Chart_Data!$H$2:$H$13</c:f>
              <c:numCache>
                <c:formatCode>0.0%</c:formatCode>
                <c:ptCount val="12"/>
                <c:pt idx="0">
                  <c:v>0.74</c:v>
                </c:pt>
                <c:pt idx="1">
                  <c:v>0.82299999999999995</c:v>
                </c:pt>
                <c:pt idx="2">
                  <c:v>0.74199999999999999</c:v>
                </c:pt>
                <c:pt idx="3">
                  <c:v>0.85299999999999998</c:v>
                </c:pt>
                <c:pt idx="4">
                  <c:v>0.75700000000000001</c:v>
                </c:pt>
                <c:pt idx="5">
                  <c:v>0.877</c:v>
                </c:pt>
                <c:pt idx="6">
                  <c:v>0.76900000000000002</c:v>
                </c:pt>
                <c:pt idx="7">
                  <c:v>0.80300000000000005</c:v>
                </c:pt>
                <c:pt idx="8">
                  <c:v>0.80800000000000005</c:v>
                </c:pt>
                <c:pt idx="9">
                  <c:v>0.89700000000000002</c:v>
                </c:pt>
                <c:pt idx="10">
                  <c:v>0.93</c:v>
                </c:pt>
                <c:pt idx="11">
                  <c:v>0.85799999999999998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CD-4576-95CE-53DD405A3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743335"/>
        <c:axId val="88363572"/>
      </c:lineChart>
      <c:catAx>
        <c:axId val="287433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363572"/>
        <c:crosses val="autoZero"/>
        <c:auto val="1"/>
        <c:lblAlgn val="ctr"/>
        <c:lblOffset val="100"/>
        <c:noMultiLvlLbl val="0"/>
      </c:catAx>
      <c:valAx>
        <c:axId val="88363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43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Revenue (MWK)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Chart_Data!$I$1</c:f>
              <c:strCache>
                <c:ptCount val="1"/>
                <c:pt idx="0">
                  <c:v>Revenue_MWK</c:v>
                </c:pt>
              </c:strCache>
            </c:strRef>
          </c:tx>
          <c:spPr>
            <a:ln w="29880">
              <a:solidFill>
                <a:srgbClr val="FFD9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Chart_Data!$I$2:$I$13</c:f>
              <c:numCache>
                <c:formatCode>#,##0,###</c:formatCode>
                <c:ptCount val="12"/>
                <c:pt idx="0">
                  <c:v>9779635</c:v>
                </c:pt>
                <c:pt idx="1">
                  <c:v>12339767</c:v>
                </c:pt>
                <c:pt idx="2">
                  <c:v>12513525</c:v>
                </c:pt>
                <c:pt idx="3">
                  <c:v>12751876</c:v>
                </c:pt>
                <c:pt idx="4">
                  <c:v>11850221</c:v>
                </c:pt>
                <c:pt idx="5">
                  <c:v>13019914</c:v>
                </c:pt>
                <c:pt idx="6">
                  <c:v>9285794</c:v>
                </c:pt>
                <c:pt idx="7">
                  <c:v>9000002</c:v>
                </c:pt>
                <c:pt idx="8">
                  <c:v>13840931</c:v>
                </c:pt>
                <c:pt idx="9">
                  <c:v>10995480</c:v>
                </c:pt>
                <c:pt idx="10">
                  <c:v>11849336</c:v>
                </c:pt>
                <c:pt idx="11">
                  <c:v>9816988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22-4F99-A77E-4D9C7326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694272"/>
        <c:axId val="23112979"/>
      </c:lineChart>
      <c:catAx>
        <c:axId val="79694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12979"/>
        <c:crosses val="autoZero"/>
        <c:auto val="1"/>
        <c:lblAlgn val="ctr"/>
        <c:lblOffset val="100"/>
        <c:noMultiLvlLbl val="0"/>
      </c:catAx>
      <c:valAx>
        <c:axId val="23112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##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94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Escalations vs CSAT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Chart_Data!$J$1</c:f>
              <c:strCache>
                <c:ptCount val="1"/>
                <c:pt idx="0">
                  <c:v>Escalations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Chart_Data!$A$2:$A$13</c:f>
              <c:strCache>
                <c:ptCount val="1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</c:strCache>
            </c:strRef>
          </c:cat>
          <c:val>
            <c:numRef>
              <c:f>Chart_Data!$J$2:$J$13</c:f>
              <c:numCache>
                <c:formatCode>#,##0</c:formatCode>
                <c:ptCount val="12"/>
                <c:pt idx="0">
                  <c:v>103</c:v>
                </c:pt>
                <c:pt idx="1">
                  <c:v>81</c:v>
                </c:pt>
                <c:pt idx="2">
                  <c:v>147</c:v>
                </c:pt>
                <c:pt idx="3">
                  <c:v>249</c:v>
                </c:pt>
                <c:pt idx="4">
                  <c:v>148</c:v>
                </c:pt>
                <c:pt idx="5">
                  <c:v>94</c:v>
                </c:pt>
                <c:pt idx="6">
                  <c:v>244</c:v>
                </c:pt>
                <c:pt idx="7">
                  <c:v>210</c:v>
                </c:pt>
                <c:pt idx="8">
                  <c:v>215</c:v>
                </c:pt>
                <c:pt idx="9">
                  <c:v>191</c:v>
                </c:pt>
                <c:pt idx="10">
                  <c:v>295</c:v>
                </c:pt>
                <c:pt idx="11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3-4788-935A-8AD277C95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7361"/>
        <c:axId val="7874988"/>
      </c:barChart>
      <c:catAx>
        <c:axId val="5657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4988"/>
        <c:crosses val="autoZero"/>
        <c:auto val="1"/>
        <c:lblAlgn val="ctr"/>
        <c:lblOffset val="100"/>
        <c:noMultiLvlLbl val="0"/>
      </c:catAx>
      <c:valAx>
        <c:axId val="7874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Escalations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7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9</xdr:col>
      <xdr:colOff>136080</xdr:colOff>
      <xdr:row>30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18</xdr:col>
      <xdr:colOff>526605</xdr:colOff>
      <xdr:row>30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9</xdr:col>
      <xdr:colOff>136080</xdr:colOff>
      <xdr:row>48</xdr:row>
      <xdr:rowOff>149760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18</xdr:col>
      <xdr:colOff>526605</xdr:colOff>
      <xdr:row>48</xdr:row>
      <xdr:rowOff>149760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T7"/>
  <sheetViews>
    <sheetView tabSelected="1" zoomScaleNormal="100" workbookViewId="0">
      <pane ySplit="3" topLeftCell="A37" activePane="bottomLeft" state="frozen"/>
      <selection pane="bottomLeft" activeCell="A5" sqref="A5:B6"/>
    </sheetView>
  </sheetViews>
  <sheetFormatPr defaultColWidth="8.7109375" defaultRowHeight="15" x14ac:dyDescent="0.25"/>
  <cols>
    <col min="1" max="15" width="10" customWidth="1"/>
    <col min="16" max="16" width="14.140625" customWidth="1"/>
    <col min="17" max="20" width="10" customWidth="1"/>
  </cols>
  <sheetData>
    <row r="1" spans="1:20" ht="45" customHeight="1" x14ac:dyDescent="0.25">
      <c r="A1" s="14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1.75" customHeight="1" x14ac:dyDescent="0.25">
      <c r="A2" s="13" t="s">
        <v>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4" spans="1:20" ht="18" customHeight="1" x14ac:dyDescent="0.25">
      <c r="A4" s="12" t="s">
        <v>56</v>
      </c>
      <c r="B4" s="12"/>
      <c r="C4" s="11" t="s">
        <v>57</v>
      </c>
      <c r="D4" s="11"/>
      <c r="E4" s="10" t="s">
        <v>58</v>
      </c>
      <c r="F4" s="10"/>
      <c r="G4" s="12" t="s">
        <v>59</v>
      </c>
      <c r="H4" s="12"/>
      <c r="I4" s="9" t="s">
        <v>60</v>
      </c>
      <c r="J4" s="9"/>
      <c r="K4" s="11" t="s">
        <v>61</v>
      </c>
      <c r="L4" s="11"/>
      <c r="M4" s="10" t="s">
        <v>62</v>
      </c>
      <c r="N4" s="10"/>
      <c r="O4" s="12" t="s">
        <v>63</v>
      </c>
      <c r="P4" s="12"/>
    </row>
    <row r="5" spans="1:20" ht="30" customHeight="1" x14ac:dyDescent="0.25">
      <c r="A5" s="8">
        <f>KPI_Summary!B17</f>
        <v>219816</v>
      </c>
      <c r="B5" s="8"/>
      <c r="C5" s="7">
        <f>KPI_Summary!C17</f>
        <v>203161</v>
      </c>
      <c r="D5" s="7"/>
      <c r="E5" s="6">
        <f>KPI_Summary!E17</f>
        <v>7.591611189084814E-2</v>
      </c>
      <c r="F5" s="6"/>
      <c r="G5" s="5">
        <f>KPI_Summary!G17</f>
        <v>0.76408333333333334</v>
      </c>
      <c r="H5" s="5"/>
      <c r="I5" s="4">
        <f>KPI_Summary!H17</f>
        <v>4.083333333333333</v>
      </c>
      <c r="J5" s="4"/>
      <c r="K5" s="3">
        <f>KPI_Summary!K17</f>
        <v>0.82141666666666657</v>
      </c>
      <c r="L5" s="3"/>
      <c r="M5" s="2">
        <f>KPI_Summary!M17</f>
        <v>2149</v>
      </c>
      <c r="N5" s="2"/>
      <c r="O5" s="8">
        <f>KPI_Summary!O17</f>
        <v>137043469</v>
      </c>
      <c r="P5" s="8"/>
    </row>
    <row r="6" spans="1:20" ht="39.75" customHeight="1" x14ac:dyDescent="0.25">
      <c r="A6" s="8"/>
      <c r="B6" s="8"/>
      <c r="C6" s="7"/>
      <c r="D6" s="7"/>
      <c r="E6" s="6"/>
      <c r="F6" s="6"/>
      <c r="G6" s="5"/>
      <c r="H6" s="5"/>
      <c r="I6" s="4"/>
      <c r="J6" s="4"/>
      <c r="K6" s="3"/>
      <c r="L6" s="3"/>
      <c r="M6" s="2"/>
      <c r="N6" s="2"/>
      <c r="O6" s="8"/>
      <c r="P6" s="8"/>
    </row>
    <row r="7" spans="1:20" ht="18" customHeight="1" x14ac:dyDescent="0.25">
      <c r="A7" s="1" t="s">
        <v>0</v>
      </c>
      <c r="B7" s="1"/>
      <c r="C7" s="1" t="s">
        <v>0</v>
      </c>
      <c r="D7" s="1"/>
      <c r="E7" s="1" t="s">
        <v>0</v>
      </c>
      <c r="F7" s="1"/>
      <c r="G7" s="1" t="s">
        <v>0</v>
      </c>
      <c r="H7" s="1"/>
      <c r="I7" s="1" t="s">
        <v>0</v>
      </c>
      <c r="J7" s="1"/>
      <c r="K7" s="1" t="s">
        <v>0</v>
      </c>
      <c r="L7" s="1"/>
      <c r="M7" s="1" t="s">
        <v>0</v>
      </c>
      <c r="N7" s="1"/>
      <c r="O7" s="1" t="s">
        <v>0</v>
      </c>
      <c r="P7" s="1"/>
    </row>
  </sheetData>
  <mergeCells count="26">
    <mergeCell ref="K5:L6"/>
    <mergeCell ref="M5:N6"/>
    <mergeCell ref="O5:P6"/>
    <mergeCell ref="A7:B7"/>
    <mergeCell ref="C7:D7"/>
    <mergeCell ref="E7:F7"/>
    <mergeCell ref="G7:H7"/>
    <mergeCell ref="I7:J7"/>
    <mergeCell ref="K7:L7"/>
    <mergeCell ref="M7:N7"/>
    <mergeCell ref="O7:P7"/>
    <mergeCell ref="A5:B6"/>
    <mergeCell ref="C5:D6"/>
    <mergeCell ref="E5:F6"/>
    <mergeCell ref="G5:H6"/>
    <mergeCell ref="I5:J6"/>
    <mergeCell ref="A1:T1"/>
    <mergeCell ref="A2:T2"/>
    <mergeCell ref="A4:B4"/>
    <mergeCell ref="C4:D4"/>
    <mergeCell ref="E4:F4"/>
    <mergeCell ref="G4:H4"/>
    <mergeCell ref="I4:J4"/>
    <mergeCell ref="K4:L4"/>
    <mergeCell ref="M4:N4"/>
    <mergeCell ref="O4:P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O13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13" customWidth="1"/>
    <col min="3" max="4" width="14" customWidth="1"/>
    <col min="5" max="5" width="16" customWidth="1"/>
    <col min="6" max="6" width="18" customWidth="1"/>
    <col min="7" max="7" width="11" customWidth="1"/>
    <col min="8" max="8" width="14" customWidth="1"/>
    <col min="9" max="9" width="16" customWidth="1"/>
    <col min="10" max="10" width="8" customWidth="1"/>
    <col min="11" max="11" width="11" customWidth="1"/>
    <col min="12" max="12" width="16" customWidth="1"/>
    <col min="13" max="13" width="12" customWidth="1"/>
    <col min="14" max="14" width="11" customWidth="1"/>
    <col min="15" max="15" width="15" customWidth="1"/>
  </cols>
  <sheetData>
    <row r="1" spans="1:15" ht="30" x14ac:dyDescent="0.2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</row>
    <row r="2" spans="1:15" x14ac:dyDescent="0.25">
      <c r="A2" s="16" t="s">
        <v>16</v>
      </c>
      <c r="B2" s="17">
        <v>19119</v>
      </c>
      <c r="C2" s="17">
        <v>18184</v>
      </c>
      <c r="D2" s="17">
        <v>935</v>
      </c>
      <c r="E2" s="17">
        <v>304</v>
      </c>
      <c r="F2" s="18">
        <v>0.73499999999999999</v>
      </c>
      <c r="G2" s="19">
        <v>3.6</v>
      </c>
      <c r="H2" s="17">
        <v>48</v>
      </c>
      <c r="I2" s="17">
        <v>89</v>
      </c>
      <c r="J2" s="18">
        <v>0.74</v>
      </c>
      <c r="K2" s="18">
        <v>0.79300000000000004</v>
      </c>
      <c r="L2" s="17">
        <v>31</v>
      </c>
      <c r="M2" s="17">
        <v>103</v>
      </c>
      <c r="N2" s="17">
        <v>95</v>
      </c>
      <c r="O2" s="20">
        <v>9779635</v>
      </c>
    </row>
    <row r="3" spans="1:15" x14ac:dyDescent="0.25">
      <c r="A3" s="21" t="s">
        <v>17</v>
      </c>
      <c r="B3" s="22">
        <v>18965</v>
      </c>
      <c r="C3" s="22">
        <v>18167</v>
      </c>
      <c r="D3" s="22">
        <v>798</v>
      </c>
      <c r="E3" s="22">
        <v>235</v>
      </c>
      <c r="F3" s="23">
        <v>0.82299999999999995</v>
      </c>
      <c r="G3" s="24">
        <v>4.3</v>
      </c>
      <c r="H3" s="22">
        <v>58</v>
      </c>
      <c r="I3" s="22">
        <v>48</v>
      </c>
      <c r="J3" s="23">
        <v>0.82299999999999995</v>
      </c>
      <c r="K3" s="23">
        <v>0.76100000000000001</v>
      </c>
      <c r="L3" s="22">
        <v>85</v>
      </c>
      <c r="M3" s="22">
        <v>81</v>
      </c>
      <c r="N3" s="22">
        <v>80</v>
      </c>
      <c r="O3" s="25">
        <v>12339767</v>
      </c>
    </row>
    <row r="4" spans="1:15" x14ac:dyDescent="0.25">
      <c r="A4" s="16" t="s">
        <v>18</v>
      </c>
      <c r="B4" s="17">
        <v>17893</v>
      </c>
      <c r="C4" s="17">
        <v>16780</v>
      </c>
      <c r="D4" s="17">
        <v>1113</v>
      </c>
      <c r="E4" s="17">
        <v>237</v>
      </c>
      <c r="F4" s="18">
        <v>0.871</v>
      </c>
      <c r="G4" s="19">
        <v>3.7</v>
      </c>
      <c r="H4" s="17">
        <v>47</v>
      </c>
      <c r="I4" s="17">
        <v>68</v>
      </c>
      <c r="J4" s="18">
        <v>0.74199999999999999</v>
      </c>
      <c r="K4" s="18">
        <v>0.88600000000000001</v>
      </c>
      <c r="L4" s="17">
        <v>68</v>
      </c>
      <c r="M4" s="17">
        <v>147</v>
      </c>
      <c r="N4" s="17">
        <v>51</v>
      </c>
      <c r="O4" s="20">
        <v>12513525</v>
      </c>
    </row>
    <row r="5" spans="1:15" x14ac:dyDescent="0.25">
      <c r="A5" s="21" t="s">
        <v>19</v>
      </c>
      <c r="B5" s="22">
        <v>18696</v>
      </c>
      <c r="C5" s="22">
        <v>17762</v>
      </c>
      <c r="D5" s="22">
        <v>934</v>
      </c>
      <c r="E5" s="22">
        <v>258</v>
      </c>
      <c r="F5" s="23">
        <v>0.69599999999999995</v>
      </c>
      <c r="G5" s="24">
        <v>3.7</v>
      </c>
      <c r="H5" s="22">
        <v>65</v>
      </c>
      <c r="I5" s="22">
        <v>66</v>
      </c>
      <c r="J5" s="23">
        <v>0.85299999999999998</v>
      </c>
      <c r="K5" s="23">
        <v>0.85499999999999998</v>
      </c>
      <c r="L5" s="22">
        <v>32</v>
      </c>
      <c r="M5" s="22">
        <v>249</v>
      </c>
      <c r="N5" s="22">
        <v>98</v>
      </c>
      <c r="O5" s="25">
        <v>12751876</v>
      </c>
    </row>
    <row r="6" spans="1:15" x14ac:dyDescent="0.25">
      <c r="A6" s="16" t="s">
        <v>20</v>
      </c>
      <c r="B6" s="17">
        <v>16826</v>
      </c>
      <c r="C6" s="17">
        <v>15002</v>
      </c>
      <c r="D6" s="17">
        <v>1824</v>
      </c>
      <c r="E6" s="17">
        <v>320</v>
      </c>
      <c r="F6" s="18">
        <v>0.7</v>
      </c>
      <c r="G6" s="19">
        <v>3.6</v>
      </c>
      <c r="H6" s="17">
        <v>65</v>
      </c>
      <c r="I6" s="17">
        <v>66</v>
      </c>
      <c r="J6" s="18">
        <v>0.75700000000000001</v>
      </c>
      <c r="K6" s="18">
        <v>0.77800000000000002</v>
      </c>
      <c r="L6" s="17">
        <v>72</v>
      </c>
      <c r="M6" s="17">
        <v>148</v>
      </c>
      <c r="N6" s="17">
        <v>58</v>
      </c>
      <c r="O6" s="20">
        <v>11850221</v>
      </c>
    </row>
    <row r="7" spans="1:15" x14ac:dyDescent="0.25">
      <c r="A7" s="21" t="s">
        <v>21</v>
      </c>
      <c r="B7" s="22">
        <v>17200</v>
      </c>
      <c r="C7" s="22">
        <v>15778</v>
      </c>
      <c r="D7" s="22">
        <v>1422</v>
      </c>
      <c r="E7" s="22">
        <v>241</v>
      </c>
      <c r="F7" s="23">
        <v>0.71299999999999997</v>
      </c>
      <c r="G7" s="24">
        <v>3.8</v>
      </c>
      <c r="H7" s="22">
        <v>65</v>
      </c>
      <c r="I7" s="22">
        <v>48</v>
      </c>
      <c r="J7" s="23">
        <v>0.877</v>
      </c>
      <c r="K7" s="23">
        <v>0.88500000000000001</v>
      </c>
      <c r="L7" s="22">
        <v>79</v>
      </c>
      <c r="M7" s="22">
        <v>94</v>
      </c>
      <c r="N7" s="22">
        <v>98</v>
      </c>
      <c r="O7" s="25">
        <v>13019914</v>
      </c>
    </row>
    <row r="8" spans="1:15" x14ac:dyDescent="0.25">
      <c r="A8" s="16" t="s">
        <v>22</v>
      </c>
      <c r="B8" s="17">
        <v>19797</v>
      </c>
      <c r="C8" s="17">
        <v>18506</v>
      </c>
      <c r="D8" s="17">
        <v>1291</v>
      </c>
      <c r="E8" s="17">
        <v>244</v>
      </c>
      <c r="F8" s="18">
        <v>0.69299999999999995</v>
      </c>
      <c r="G8" s="19">
        <v>4.7</v>
      </c>
      <c r="H8" s="17">
        <v>63</v>
      </c>
      <c r="I8" s="17">
        <v>60</v>
      </c>
      <c r="J8" s="18">
        <v>0.76900000000000002</v>
      </c>
      <c r="K8" s="18">
        <v>0.81</v>
      </c>
      <c r="L8" s="17">
        <v>86</v>
      </c>
      <c r="M8" s="17">
        <v>244</v>
      </c>
      <c r="N8" s="17">
        <v>157</v>
      </c>
      <c r="O8" s="20">
        <v>9285794</v>
      </c>
    </row>
    <row r="9" spans="1:15" x14ac:dyDescent="0.25">
      <c r="A9" s="21" t="s">
        <v>23</v>
      </c>
      <c r="B9" s="22">
        <v>17071</v>
      </c>
      <c r="C9" s="22">
        <v>16052</v>
      </c>
      <c r="D9" s="22">
        <v>1019</v>
      </c>
      <c r="E9" s="22">
        <v>281</v>
      </c>
      <c r="F9" s="23">
        <v>0.78800000000000003</v>
      </c>
      <c r="G9" s="24">
        <v>4.4000000000000004</v>
      </c>
      <c r="H9" s="22">
        <v>58</v>
      </c>
      <c r="I9" s="22">
        <v>71</v>
      </c>
      <c r="J9" s="23">
        <v>0.80300000000000005</v>
      </c>
      <c r="K9" s="23">
        <v>0.91900000000000004</v>
      </c>
      <c r="L9" s="22">
        <v>38</v>
      </c>
      <c r="M9" s="22">
        <v>210</v>
      </c>
      <c r="N9" s="22">
        <v>166</v>
      </c>
      <c r="O9" s="25">
        <v>9000002</v>
      </c>
    </row>
    <row r="10" spans="1:15" x14ac:dyDescent="0.25">
      <c r="A10" s="16" t="s">
        <v>24</v>
      </c>
      <c r="B10" s="17">
        <v>16692</v>
      </c>
      <c r="C10" s="17">
        <v>14875</v>
      </c>
      <c r="D10" s="17">
        <v>1817</v>
      </c>
      <c r="E10" s="17">
        <v>229</v>
      </c>
      <c r="F10" s="18">
        <v>0.80500000000000005</v>
      </c>
      <c r="G10" s="19">
        <v>4.5</v>
      </c>
      <c r="H10" s="17">
        <v>58</v>
      </c>
      <c r="I10" s="17">
        <v>28</v>
      </c>
      <c r="J10" s="18">
        <v>0.80800000000000005</v>
      </c>
      <c r="K10" s="18">
        <v>0.83099999999999996</v>
      </c>
      <c r="L10" s="17">
        <v>59</v>
      </c>
      <c r="M10" s="17">
        <v>215</v>
      </c>
      <c r="N10" s="17">
        <v>104</v>
      </c>
      <c r="O10" s="20">
        <v>13840931</v>
      </c>
    </row>
    <row r="11" spans="1:15" x14ac:dyDescent="0.25">
      <c r="A11" s="21" t="s">
        <v>25</v>
      </c>
      <c r="B11" s="22">
        <v>20025</v>
      </c>
      <c r="C11" s="22">
        <v>17715</v>
      </c>
      <c r="D11" s="22">
        <v>2310</v>
      </c>
      <c r="E11" s="22">
        <v>297</v>
      </c>
      <c r="F11" s="23">
        <v>0.82399999999999995</v>
      </c>
      <c r="G11" s="24">
        <v>4.3</v>
      </c>
      <c r="H11" s="22">
        <v>62</v>
      </c>
      <c r="I11" s="22">
        <v>54</v>
      </c>
      <c r="J11" s="23">
        <v>0.89700000000000002</v>
      </c>
      <c r="K11" s="23">
        <v>0.77500000000000002</v>
      </c>
      <c r="L11" s="22">
        <v>48</v>
      </c>
      <c r="M11" s="22">
        <v>191</v>
      </c>
      <c r="N11" s="22">
        <v>80</v>
      </c>
      <c r="O11" s="25">
        <v>10995480</v>
      </c>
    </row>
    <row r="12" spans="1:15" x14ac:dyDescent="0.25">
      <c r="A12" s="16" t="s">
        <v>26</v>
      </c>
      <c r="B12" s="17">
        <v>20406</v>
      </c>
      <c r="C12" s="17">
        <v>18411</v>
      </c>
      <c r="D12" s="17">
        <v>1995</v>
      </c>
      <c r="E12" s="17">
        <v>302</v>
      </c>
      <c r="F12" s="18">
        <v>0.73299999999999998</v>
      </c>
      <c r="G12" s="19">
        <v>4</v>
      </c>
      <c r="H12" s="17">
        <v>50</v>
      </c>
      <c r="I12" s="17">
        <v>84</v>
      </c>
      <c r="J12" s="18">
        <v>0.93</v>
      </c>
      <c r="K12" s="18">
        <v>0.89200000000000002</v>
      </c>
      <c r="L12" s="17">
        <v>49</v>
      </c>
      <c r="M12" s="17">
        <v>295</v>
      </c>
      <c r="N12" s="17">
        <v>169</v>
      </c>
      <c r="O12" s="20">
        <v>11849336</v>
      </c>
    </row>
    <row r="13" spans="1:15" x14ac:dyDescent="0.25">
      <c r="A13" s="21" t="s">
        <v>27</v>
      </c>
      <c r="B13" s="22">
        <v>17126</v>
      </c>
      <c r="C13" s="22">
        <v>15929</v>
      </c>
      <c r="D13" s="22">
        <v>1197</v>
      </c>
      <c r="E13" s="22">
        <v>230</v>
      </c>
      <c r="F13" s="23">
        <v>0.78800000000000003</v>
      </c>
      <c r="G13" s="24">
        <v>4.4000000000000004</v>
      </c>
      <c r="H13" s="22">
        <v>61</v>
      </c>
      <c r="I13" s="22">
        <v>20</v>
      </c>
      <c r="J13" s="23">
        <v>0.85799999999999998</v>
      </c>
      <c r="K13" s="23">
        <v>0.80700000000000005</v>
      </c>
      <c r="L13" s="22">
        <v>37</v>
      </c>
      <c r="M13" s="22">
        <v>172</v>
      </c>
      <c r="N13" s="22">
        <v>118</v>
      </c>
      <c r="O13" s="25">
        <v>9816988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P17"/>
  <sheetViews>
    <sheetView zoomScaleNormal="100" workbookViewId="0">
      <selection activeCell="A2" sqref="A2:P2"/>
    </sheetView>
  </sheetViews>
  <sheetFormatPr defaultColWidth="8.7109375" defaultRowHeight="15" x14ac:dyDescent="0.25"/>
  <cols>
    <col min="1" max="1" width="9" customWidth="1"/>
    <col min="2" max="5" width="12" customWidth="1"/>
    <col min="6" max="6" width="10" customWidth="1"/>
    <col min="7" max="7" width="8" customWidth="1"/>
    <col min="8" max="8" width="7" customWidth="1"/>
    <col min="9" max="9" width="8" customWidth="1"/>
    <col min="10" max="10" width="10" customWidth="1"/>
    <col min="11" max="11" width="8" customWidth="1"/>
    <col min="12" max="12" width="11" customWidth="1"/>
    <col min="13" max="14" width="12" customWidth="1"/>
    <col min="15" max="15" width="16" customWidth="1"/>
    <col min="16" max="16" width="14" customWidth="1"/>
  </cols>
  <sheetData>
    <row r="1" spans="1:16" ht="39.75" customHeight="1" x14ac:dyDescent="0.25">
      <c r="A1" s="41" t="s">
        <v>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x14ac:dyDescent="0.25">
      <c r="A2" s="42" t="s">
        <v>65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4" spans="1:16" ht="30" customHeight="1" x14ac:dyDescent="0.25">
      <c r="A4" s="26" t="s">
        <v>1</v>
      </c>
      <c r="B4" s="26" t="s">
        <v>28</v>
      </c>
      <c r="C4" s="26" t="s">
        <v>29</v>
      </c>
      <c r="D4" s="26" t="s">
        <v>30</v>
      </c>
      <c r="E4" s="26" t="s">
        <v>31</v>
      </c>
      <c r="F4" s="26" t="s">
        <v>32</v>
      </c>
      <c r="G4" s="26" t="s">
        <v>33</v>
      </c>
      <c r="H4" s="26" t="s">
        <v>34</v>
      </c>
      <c r="I4" s="26" t="s">
        <v>35</v>
      </c>
      <c r="J4" s="26" t="s">
        <v>36</v>
      </c>
      <c r="K4" s="26" t="s">
        <v>37</v>
      </c>
      <c r="L4" s="26" t="s">
        <v>38</v>
      </c>
      <c r="M4" s="26" t="s">
        <v>13</v>
      </c>
      <c r="N4" s="26" t="s">
        <v>14</v>
      </c>
      <c r="O4" s="26" t="s">
        <v>39</v>
      </c>
      <c r="P4" s="26" t="s">
        <v>40</v>
      </c>
    </row>
    <row r="5" spans="1:16" x14ac:dyDescent="0.25">
      <c r="A5" s="27" t="str">
        <f>Raw_Data!A2</f>
        <v>Jan-24</v>
      </c>
      <c r="B5" s="17">
        <f>Raw_Data!B2</f>
        <v>19119</v>
      </c>
      <c r="C5" s="17">
        <f>Raw_Data!C2</f>
        <v>18184</v>
      </c>
      <c r="D5" s="17">
        <f>Raw_Data!D2</f>
        <v>935</v>
      </c>
      <c r="E5" s="18">
        <f>IFERROR(Raw_Data!D2/Raw_Data!B2,0)</f>
        <v>4.8904231392855275E-2</v>
      </c>
      <c r="F5" s="17">
        <f>Raw_Data!E2</f>
        <v>304</v>
      </c>
      <c r="G5" s="18">
        <f>Raw_Data!F2</f>
        <v>0.73499999999999999</v>
      </c>
      <c r="H5" s="19">
        <f>Raw_Data!G2</f>
        <v>3.6</v>
      </c>
      <c r="I5" s="17">
        <f>Raw_Data!H2</f>
        <v>48</v>
      </c>
      <c r="J5" s="17">
        <f>Raw_Data!I2</f>
        <v>89</v>
      </c>
      <c r="K5" s="18">
        <f>Raw_Data!J2</f>
        <v>0.74</v>
      </c>
      <c r="L5" s="18">
        <f>Raw_Data!K2</f>
        <v>0.79300000000000004</v>
      </c>
      <c r="M5" s="17">
        <f>Raw_Data!M2</f>
        <v>103</v>
      </c>
      <c r="N5" s="17">
        <f>Raw_Data!N2</f>
        <v>95</v>
      </c>
      <c r="O5" s="17">
        <f>Raw_Data!O2</f>
        <v>9779635</v>
      </c>
      <c r="P5" s="28" t="s">
        <v>41</v>
      </c>
    </row>
    <row r="6" spans="1:16" x14ac:dyDescent="0.25">
      <c r="A6" s="29" t="str">
        <f>Raw_Data!A3</f>
        <v>Feb-24</v>
      </c>
      <c r="B6" s="22">
        <f>Raw_Data!B3</f>
        <v>18965</v>
      </c>
      <c r="C6" s="22">
        <f>Raw_Data!C3</f>
        <v>18167</v>
      </c>
      <c r="D6" s="22">
        <f>Raw_Data!D3</f>
        <v>798</v>
      </c>
      <c r="E6" s="23">
        <f>IFERROR(Raw_Data!D3/Raw_Data!B3,0)</f>
        <v>4.2077511204851044E-2</v>
      </c>
      <c r="F6" s="22">
        <f>Raw_Data!E3</f>
        <v>235</v>
      </c>
      <c r="G6" s="23">
        <f>Raw_Data!F3</f>
        <v>0.82299999999999995</v>
      </c>
      <c r="H6" s="24">
        <f>Raw_Data!G3</f>
        <v>4.3</v>
      </c>
      <c r="I6" s="22">
        <f>Raw_Data!H3</f>
        <v>58</v>
      </c>
      <c r="J6" s="22">
        <f>Raw_Data!I3</f>
        <v>48</v>
      </c>
      <c r="K6" s="23">
        <f>Raw_Data!J3</f>
        <v>0.82299999999999995</v>
      </c>
      <c r="L6" s="23">
        <f>Raw_Data!K3</f>
        <v>0.76100000000000001</v>
      </c>
      <c r="M6" s="22">
        <f>Raw_Data!M3</f>
        <v>81</v>
      </c>
      <c r="N6" s="22">
        <f>Raw_Data!N3</f>
        <v>80</v>
      </c>
      <c r="O6" s="22">
        <f>Raw_Data!O3</f>
        <v>12339767</v>
      </c>
      <c r="P6" s="23">
        <f t="shared" ref="P6:P16" si="0">IFERROR((O6-O5)/O5,0)</f>
        <v>0.2617819581201139</v>
      </c>
    </row>
    <row r="7" spans="1:16" x14ac:dyDescent="0.25">
      <c r="A7" s="27" t="str">
        <f>Raw_Data!A4</f>
        <v>Mar-24</v>
      </c>
      <c r="B7" s="17">
        <f>Raw_Data!B4</f>
        <v>17893</v>
      </c>
      <c r="C7" s="17">
        <f>Raw_Data!C4</f>
        <v>16780</v>
      </c>
      <c r="D7" s="17">
        <f>Raw_Data!D4</f>
        <v>1113</v>
      </c>
      <c r="E7" s="18">
        <f>IFERROR(Raw_Data!D4/Raw_Data!B4,0)</f>
        <v>6.2203096182864806E-2</v>
      </c>
      <c r="F7" s="17">
        <f>Raw_Data!E4</f>
        <v>237</v>
      </c>
      <c r="G7" s="18">
        <f>Raw_Data!F4</f>
        <v>0.871</v>
      </c>
      <c r="H7" s="19">
        <f>Raw_Data!G4</f>
        <v>3.7</v>
      </c>
      <c r="I7" s="17">
        <f>Raw_Data!H4</f>
        <v>47</v>
      </c>
      <c r="J7" s="17">
        <f>Raw_Data!I4</f>
        <v>68</v>
      </c>
      <c r="K7" s="18">
        <f>Raw_Data!J4</f>
        <v>0.74199999999999999</v>
      </c>
      <c r="L7" s="18">
        <f>Raw_Data!K4</f>
        <v>0.88600000000000001</v>
      </c>
      <c r="M7" s="17">
        <f>Raw_Data!M4</f>
        <v>147</v>
      </c>
      <c r="N7" s="17">
        <f>Raw_Data!N4</f>
        <v>51</v>
      </c>
      <c r="O7" s="17">
        <f>Raw_Data!O4</f>
        <v>12513525</v>
      </c>
      <c r="P7" s="18">
        <f t="shared" si="0"/>
        <v>1.4081141078271575E-2</v>
      </c>
    </row>
    <row r="8" spans="1:16" x14ac:dyDescent="0.25">
      <c r="A8" s="29" t="str">
        <f>Raw_Data!A5</f>
        <v>Apr-24</v>
      </c>
      <c r="B8" s="22">
        <f>Raw_Data!B5</f>
        <v>18696</v>
      </c>
      <c r="C8" s="22">
        <f>Raw_Data!C5</f>
        <v>17762</v>
      </c>
      <c r="D8" s="22">
        <f>Raw_Data!D5</f>
        <v>934</v>
      </c>
      <c r="E8" s="23">
        <f>IFERROR(Raw_Data!D5/Raw_Data!B5,0)</f>
        <v>4.9957210098416777E-2</v>
      </c>
      <c r="F8" s="22">
        <f>Raw_Data!E5</f>
        <v>258</v>
      </c>
      <c r="G8" s="23">
        <f>Raw_Data!F5</f>
        <v>0.69599999999999995</v>
      </c>
      <c r="H8" s="24">
        <f>Raw_Data!G5</f>
        <v>3.7</v>
      </c>
      <c r="I8" s="22">
        <f>Raw_Data!H5</f>
        <v>65</v>
      </c>
      <c r="J8" s="22">
        <f>Raw_Data!I5</f>
        <v>66</v>
      </c>
      <c r="K8" s="23">
        <f>Raw_Data!J5</f>
        <v>0.85299999999999998</v>
      </c>
      <c r="L8" s="23">
        <f>Raw_Data!K5</f>
        <v>0.85499999999999998</v>
      </c>
      <c r="M8" s="22">
        <f>Raw_Data!M5</f>
        <v>249</v>
      </c>
      <c r="N8" s="22">
        <f>Raw_Data!N5</f>
        <v>98</v>
      </c>
      <c r="O8" s="22">
        <f>Raw_Data!O5</f>
        <v>12751876</v>
      </c>
      <c r="P8" s="23">
        <f t="shared" si="0"/>
        <v>1.9047470636771015E-2</v>
      </c>
    </row>
    <row r="9" spans="1:16" x14ac:dyDescent="0.25">
      <c r="A9" s="27" t="str">
        <f>Raw_Data!A6</f>
        <v>May-24</v>
      </c>
      <c r="B9" s="17">
        <f>Raw_Data!B6</f>
        <v>16826</v>
      </c>
      <c r="C9" s="17">
        <f>Raw_Data!C6</f>
        <v>15002</v>
      </c>
      <c r="D9" s="17">
        <f>Raw_Data!D6</f>
        <v>1824</v>
      </c>
      <c r="E9" s="18">
        <f>IFERROR(Raw_Data!D6/Raw_Data!B6,0)</f>
        <v>0.10840366100083204</v>
      </c>
      <c r="F9" s="17">
        <f>Raw_Data!E6</f>
        <v>320</v>
      </c>
      <c r="G9" s="18">
        <f>Raw_Data!F6</f>
        <v>0.7</v>
      </c>
      <c r="H9" s="19">
        <f>Raw_Data!G6</f>
        <v>3.6</v>
      </c>
      <c r="I9" s="17">
        <f>Raw_Data!H6</f>
        <v>65</v>
      </c>
      <c r="J9" s="17">
        <f>Raw_Data!I6</f>
        <v>66</v>
      </c>
      <c r="K9" s="18">
        <f>Raw_Data!J6</f>
        <v>0.75700000000000001</v>
      </c>
      <c r="L9" s="18">
        <f>Raw_Data!K6</f>
        <v>0.77800000000000002</v>
      </c>
      <c r="M9" s="17">
        <f>Raw_Data!M6</f>
        <v>148</v>
      </c>
      <c r="N9" s="17">
        <f>Raw_Data!N6</f>
        <v>58</v>
      </c>
      <c r="O9" s="17">
        <f>Raw_Data!O6</f>
        <v>11850221</v>
      </c>
      <c r="P9" s="18">
        <f t="shared" si="0"/>
        <v>-7.0707635488299919E-2</v>
      </c>
    </row>
    <row r="10" spans="1:16" x14ac:dyDescent="0.25">
      <c r="A10" s="29" t="str">
        <f>Raw_Data!A7</f>
        <v>Jun-24</v>
      </c>
      <c r="B10" s="22">
        <f>Raw_Data!B7</f>
        <v>17200</v>
      </c>
      <c r="C10" s="22">
        <f>Raw_Data!C7</f>
        <v>15778</v>
      </c>
      <c r="D10" s="22">
        <f>Raw_Data!D7</f>
        <v>1422</v>
      </c>
      <c r="E10" s="23">
        <f>IFERROR(Raw_Data!D7/Raw_Data!B7,0)</f>
        <v>8.2674418604651162E-2</v>
      </c>
      <c r="F10" s="22">
        <f>Raw_Data!E7</f>
        <v>241</v>
      </c>
      <c r="G10" s="23">
        <f>Raw_Data!F7</f>
        <v>0.71299999999999997</v>
      </c>
      <c r="H10" s="24">
        <f>Raw_Data!G7</f>
        <v>3.8</v>
      </c>
      <c r="I10" s="22">
        <f>Raw_Data!H7</f>
        <v>65</v>
      </c>
      <c r="J10" s="22">
        <f>Raw_Data!I7</f>
        <v>48</v>
      </c>
      <c r="K10" s="23">
        <f>Raw_Data!J7</f>
        <v>0.877</v>
      </c>
      <c r="L10" s="23">
        <f>Raw_Data!K7</f>
        <v>0.88500000000000001</v>
      </c>
      <c r="M10" s="22">
        <f>Raw_Data!M7</f>
        <v>94</v>
      </c>
      <c r="N10" s="22">
        <f>Raw_Data!N7</f>
        <v>98</v>
      </c>
      <c r="O10" s="22">
        <f>Raw_Data!O7</f>
        <v>13019914</v>
      </c>
      <c r="P10" s="23">
        <f t="shared" si="0"/>
        <v>9.870642918811387E-2</v>
      </c>
    </row>
    <row r="11" spans="1:16" x14ac:dyDescent="0.25">
      <c r="A11" s="27" t="str">
        <f>Raw_Data!A8</f>
        <v>Jul-24</v>
      </c>
      <c r="B11" s="17">
        <f>Raw_Data!B8</f>
        <v>19797</v>
      </c>
      <c r="C11" s="17">
        <f>Raw_Data!C8</f>
        <v>18506</v>
      </c>
      <c r="D11" s="17">
        <f>Raw_Data!D8</f>
        <v>1291</v>
      </c>
      <c r="E11" s="18">
        <f>IFERROR(Raw_Data!D8/Raw_Data!B8,0)</f>
        <v>6.5211900793049449E-2</v>
      </c>
      <c r="F11" s="17">
        <f>Raw_Data!E8</f>
        <v>244</v>
      </c>
      <c r="G11" s="18">
        <f>Raw_Data!F8</f>
        <v>0.69299999999999995</v>
      </c>
      <c r="H11" s="19">
        <f>Raw_Data!G8</f>
        <v>4.7</v>
      </c>
      <c r="I11" s="17">
        <f>Raw_Data!H8</f>
        <v>63</v>
      </c>
      <c r="J11" s="17">
        <f>Raw_Data!I8</f>
        <v>60</v>
      </c>
      <c r="K11" s="18">
        <f>Raw_Data!J8</f>
        <v>0.76900000000000002</v>
      </c>
      <c r="L11" s="18">
        <f>Raw_Data!K8</f>
        <v>0.81</v>
      </c>
      <c r="M11" s="17">
        <f>Raw_Data!M8</f>
        <v>244</v>
      </c>
      <c r="N11" s="17">
        <f>Raw_Data!N8</f>
        <v>157</v>
      </c>
      <c r="O11" s="17">
        <f>Raw_Data!O8</f>
        <v>9285794</v>
      </c>
      <c r="P11" s="18">
        <f t="shared" si="0"/>
        <v>-0.28680066550362776</v>
      </c>
    </row>
    <row r="12" spans="1:16" x14ac:dyDescent="0.25">
      <c r="A12" s="29" t="str">
        <f>Raw_Data!A9</f>
        <v>Aug-24</v>
      </c>
      <c r="B12" s="22">
        <f>Raw_Data!B9</f>
        <v>17071</v>
      </c>
      <c r="C12" s="22">
        <f>Raw_Data!C9</f>
        <v>16052</v>
      </c>
      <c r="D12" s="22">
        <f>Raw_Data!D9</f>
        <v>1019</v>
      </c>
      <c r="E12" s="23">
        <f>IFERROR(Raw_Data!D9/Raw_Data!B9,0)</f>
        <v>5.9691875109835396E-2</v>
      </c>
      <c r="F12" s="22">
        <f>Raw_Data!E9</f>
        <v>281</v>
      </c>
      <c r="G12" s="23">
        <f>Raw_Data!F9</f>
        <v>0.78800000000000003</v>
      </c>
      <c r="H12" s="24">
        <f>Raw_Data!G9</f>
        <v>4.4000000000000004</v>
      </c>
      <c r="I12" s="22">
        <f>Raw_Data!H9</f>
        <v>58</v>
      </c>
      <c r="J12" s="22">
        <f>Raw_Data!I9</f>
        <v>71</v>
      </c>
      <c r="K12" s="23">
        <f>Raw_Data!J9</f>
        <v>0.80300000000000005</v>
      </c>
      <c r="L12" s="23">
        <f>Raw_Data!K9</f>
        <v>0.91900000000000004</v>
      </c>
      <c r="M12" s="22">
        <f>Raw_Data!M9</f>
        <v>210</v>
      </c>
      <c r="N12" s="22">
        <f>Raw_Data!N9</f>
        <v>166</v>
      </c>
      <c r="O12" s="22">
        <f>Raw_Data!O9</f>
        <v>9000002</v>
      </c>
      <c r="P12" s="23">
        <f t="shared" si="0"/>
        <v>-3.0777335788409695E-2</v>
      </c>
    </row>
    <row r="13" spans="1:16" x14ac:dyDescent="0.25">
      <c r="A13" s="27" t="str">
        <f>Raw_Data!A10</f>
        <v>Sep-24</v>
      </c>
      <c r="B13" s="17">
        <f>Raw_Data!B10</f>
        <v>16692</v>
      </c>
      <c r="C13" s="17">
        <f>Raw_Data!C10</f>
        <v>14875</v>
      </c>
      <c r="D13" s="17">
        <f>Raw_Data!D10</f>
        <v>1817</v>
      </c>
      <c r="E13" s="18">
        <f>IFERROR(Raw_Data!D10/Raw_Data!B10,0)</f>
        <v>0.10885454109753175</v>
      </c>
      <c r="F13" s="17">
        <f>Raw_Data!E10</f>
        <v>229</v>
      </c>
      <c r="G13" s="18">
        <f>Raw_Data!F10</f>
        <v>0.80500000000000005</v>
      </c>
      <c r="H13" s="19">
        <f>Raw_Data!G10</f>
        <v>4.5</v>
      </c>
      <c r="I13" s="17">
        <f>Raw_Data!H10</f>
        <v>58</v>
      </c>
      <c r="J13" s="17">
        <f>Raw_Data!I10</f>
        <v>28</v>
      </c>
      <c r="K13" s="18">
        <f>Raw_Data!J10</f>
        <v>0.80800000000000005</v>
      </c>
      <c r="L13" s="18">
        <f>Raw_Data!K10</f>
        <v>0.83099999999999996</v>
      </c>
      <c r="M13" s="17">
        <f>Raw_Data!M10</f>
        <v>215</v>
      </c>
      <c r="N13" s="17">
        <f>Raw_Data!N10</f>
        <v>104</v>
      </c>
      <c r="O13" s="17">
        <f>Raw_Data!O10</f>
        <v>13840931</v>
      </c>
      <c r="P13" s="18">
        <f t="shared" si="0"/>
        <v>0.53788088047091542</v>
      </c>
    </row>
    <row r="14" spans="1:16" x14ac:dyDescent="0.25">
      <c r="A14" s="29" t="str">
        <f>Raw_Data!A11</f>
        <v>Oct-24</v>
      </c>
      <c r="B14" s="22">
        <f>Raw_Data!B11</f>
        <v>20025</v>
      </c>
      <c r="C14" s="22">
        <f>Raw_Data!C11</f>
        <v>17715</v>
      </c>
      <c r="D14" s="22">
        <f>Raw_Data!D11</f>
        <v>2310</v>
      </c>
      <c r="E14" s="23">
        <f>IFERROR(Raw_Data!D11/Raw_Data!B11,0)</f>
        <v>0.11535580524344569</v>
      </c>
      <c r="F14" s="22">
        <f>Raw_Data!E11</f>
        <v>297</v>
      </c>
      <c r="G14" s="23">
        <f>Raw_Data!F11</f>
        <v>0.82399999999999995</v>
      </c>
      <c r="H14" s="24">
        <f>Raw_Data!G11</f>
        <v>4.3</v>
      </c>
      <c r="I14" s="22">
        <f>Raw_Data!H11</f>
        <v>62</v>
      </c>
      <c r="J14" s="22">
        <f>Raw_Data!I11</f>
        <v>54</v>
      </c>
      <c r="K14" s="23">
        <f>Raw_Data!J11</f>
        <v>0.89700000000000002</v>
      </c>
      <c r="L14" s="23">
        <f>Raw_Data!K11</f>
        <v>0.77500000000000002</v>
      </c>
      <c r="M14" s="22">
        <f>Raw_Data!M11</f>
        <v>191</v>
      </c>
      <c r="N14" s="22">
        <f>Raw_Data!N11</f>
        <v>80</v>
      </c>
      <c r="O14" s="22">
        <f>Raw_Data!O11</f>
        <v>10995480</v>
      </c>
      <c r="P14" s="23">
        <f t="shared" si="0"/>
        <v>-0.20558234124568645</v>
      </c>
    </row>
    <row r="15" spans="1:16" x14ac:dyDescent="0.25">
      <c r="A15" s="27" t="str">
        <f>Raw_Data!A12</f>
        <v>Nov-24</v>
      </c>
      <c r="B15" s="17">
        <f>Raw_Data!B12</f>
        <v>20406</v>
      </c>
      <c r="C15" s="17">
        <f>Raw_Data!C12</f>
        <v>18411</v>
      </c>
      <c r="D15" s="17">
        <f>Raw_Data!D12</f>
        <v>1995</v>
      </c>
      <c r="E15" s="18">
        <f>IFERROR(Raw_Data!D12/Raw_Data!B12,0)</f>
        <v>9.7765363128491614E-2</v>
      </c>
      <c r="F15" s="17">
        <f>Raw_Data!E12</f>
        <v>302</v>
      </c>
      <c r="G15" s="18">
        <f>Raw_Data!F12</f>
        <v>0.73299999999999998</v>
      </c>
      <c r="H15" s="19">
        <f>Raw_Data!G12</f>
        <v>4</v>
      </c>
      <c r="I15" s="17">
        <f>Raw_Data!H12</f>
        <v>50</v>
      </c>
      <c r="J15" s="17">
        <f>Raw_Data!I12</f>
        <v>84</v>
      </c>
      <c r="K15" s="18">
        <f>Raw_Data!J12</f>
        <v>0.93</v>
      </c>
      <c r="L15" s="18">
        <f>Raw_Data!K12</f>
        <v>0.89200000000000002</v>
      </c>
      <c r="M15" s="17">
        <f>Raw_Data!M12</f>
        <v>295</v>
      </c>
      <c r="N15" s="17">
        <f>Raw_Data!N12</f>
        <v>169</v>
      </c>
      <c r="O15" s="17">
        <f>Raw_Data!O12</f>
        <v>11849336</v>
      </c>
      <c r="P15" s="18">
        <f t="shared" si="0"/>
        <v>7.7655181947491145E-2</v>
      </c>
    </row>
    <row r="16" spans="1:16" x14ac:dyDescent="0.25">
      <c r="A16" s="29" t="str">
        <f>Raw_Data!A13</f>
        <v>Dec-24</v>
      </c>
      <c r="B16" s="22">
        <f>Raw_Data!B13</f>
        <v>17126</v>
      </c>
      <c r="C16" s="22">
        <f>Raw_Data!C13</f>
        <v>15929</v>
      </c>
      <c r="D16" s="22">
        <f>Raw_Data!D13</f>
        <v>1197</v>
      </c>
      <c r="E16" s="23">
        <f>IFERROR(Raw_Data!D13/Raw_Data!B13,0)</f>
        <v>6.9893728833352792E-2</v>
      </c>
      <c r="F16" s="22">
        <f>Raw_Data!E13</f>
        <v>230</v>
      </c>
      <c r="G16" s="23">
        <f>Raw_Data!F13</f>
        <v>0.78800000000000003</v>
      </c>
      <c r="H16" s="24">
        <f>Raw_Data!G13</f>
        <v>4.4000000000000004</v>
      </c>
      <c r="I16" s="22">
        <f>Raw_Data!H13</f>
        <v>61</v>
      </c>
      <c r="J16" s="22">
        <f>Raw_Data!I13</f>
        <v>20</v>
      </c>
      <c r="K16" s="23">
        <f>Raw_Data!J13</f>
        <v>0.85799999999999998</v>
      </c>
      <c r="L16" s="23">
        <f>Raw_Data!K13</f>
        <v>0.80700000000000005</v>
      </c>
      <c r="M16" s="22">
        <f>Raw_Data!M13</f>
        <v>172</v>
      </c>
      <c r="N16" s="22">
        <f>Raw_Data!N13</f>
        <v>118</v>
      </c>
      <c r="O16" s="22">
        <f>Raw_Data!O13</f>
        <v>9816988</v>
      </c>
      <c r="P16" s="23">
        <f t="shared" si="0"/>
        <v>-0.1715157710102912</v>
      </c>
    </row>
    <row r="17" spans="1:16" ht="38.25" x14ac:dyDescent="0.25">
      <c r="A17" s="30" t="s">
        <v>42</v>
      </c>
      <c r="B17" s="31">
        <f>SUM(B5:B16)</f>
        <v>219816</v>
      </c>
      <c r="C17" s="31">
        <f>SUM(C5:C16)</f>
        <v>203161</v>
      </c>
      <c r="D17" s="31">
        <f>SUM(D5:D16)</f>
        <v>16655</v>
      </c>
      <c r="E17" s="32">
        <f t="shared" ref="E17:L17" si="1">AVERAGE(E5:E16)</f>
        <v>7.591611189084814E-2</v>
      </c>
      <c r="F17" s="31">
        <f t="shared" si="1"/>
        <v>264.83333333333331</v>
      </c>
      <c r="G17" s="32">
        <f t="shared" si="1"/>
        <v>0.76408333333333334</v>
      </c>
      <c r="H17" s="33">
        <f t="shared" si="1"/>
        <v>4.083333333333333</v>
      </c>
      <c r="I17" s="31">
        <f t="shared" si="1"/>
        <v>58.333333333333336</v>
      </c>
      <c r="J17" s="31">
        <f t="shared" si="1"/>
        <v>58.5</v>
      </c>
      <c r="K17" s="32">
        <f t="shared" si="1"/>
        <v>0.82141666666666657</v>
      </c>
      <c r="L17" s="32">
        <f t="shared" si="1"/>
        <v>0.83266666666666678</v>
      </c>
      <c r="M17" s="31">
        <f>SUM(M5:M16)</f>
        <v>2149</v>
      </c>
      <c r="N17" s="31">
        <f>SUM(N5:N16)</f>
        <v>1274</v>
      </c>
      <c r="O17" s="31">
        <f>SUM(O5:O16)</f>
        <v>137043469</v>
      </c>
      <c r="P17" s="34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J13"/>
  <sheetViews>
    <sheetView zoomScaleNormal="100" workbookViewId="0"/>
  </sheetViews>
  <sheetFormatPr defaultColWidth="8.7109375" defaultRowHeight="15" x14ac:dyDescent="0.25"/>
  <cols>
    <col min="9" max="9" width="10.140625" bestFit="1" customWidth="1"/>
  </cols>
  <sheetData>
    <row r="1" spans="1:10" ht="25.5" x14ac:dyDescent="0.25">
      <c r="A1" s="26" t="s">
        <v>1</v>
      </c>
      <c r="B1" s="26" t="s">
        <v>2</v>
      </c>
      <c r="C1" s="26" t="s">
        <v>29</v>
      </c>
      <c r="D1" s="26" t="s">
        <v>30</v>
      </c>
      <c r="E1" s="26" t="s">
        <v>43</v>
      </c>
      <c r="F1" s="26" t="s">
        <v>44</v>
      </c>
      <c r="G1" s="26" t="s">
        <v>34</v>
      </c>
      <c r="H1" s="26" t="s">
        <v>10</v>
      </c>
      <c r="I1" s="26" t="s">
        <v>15</v>
      </c>
      <c r="J1" s="26" t="s">
        <v>13</v>
      </c>
    </row>
    <row r="2" spans="1:10" x14ac:dyDescent="0.25">
      <c r="A2" t="str">
        <f>Raw_Data!A2</f>
        <v>Jan-24</v>
      </c>
      <c r="B2" s="35">
        <f>Raw_Data!B2</f>
        <v>19119</v>
      </c>
      <c r="C2" s="35">
        <f>Raw_Data!C2</f>
        <v>18184</v>
      </c>
      <c r="D2" s="35">
        <f>Raw_Data!D2</f>
        <v>935</v>
      </c>
      <c r="E2">
        <f>IFERROR(Raw_Data!D2/Raw_Data!B2,0)</f>
        <v>4.8904231392855275E-2</v>
      </c>
      <c r="F2" s="36">
        <f>Raw_Data!F2</f>
        <v>0.73499999999999999</v>
      </c>
      <c r="G2" s="37">
        <f>Raw_Data!G2</f>
        <v>3.6</v>
      </c>
      <c r="H2" s="36">
        <f>Raw_Data!J2</f>
        <v>0.74</v>
      </c>
      <c r="I2" s="38">
        <f>Raw_Data!O2</f>
        <v>9779635</v>
      </c>
      <c r="J2" s="35">
        <f>Raw_Data!M2</f>
        <v>103</v>
      </c>
    </row>
    <row r="3" spans="1:10" x14ac:dyDescent="0.25">
      <c r="A3" t="str">
        <f>Raw_Data!A3</f>
        <v>Feb-24</v>
      </c>
      <c r="B3" s="35">
        <f>Raw_Data!B3</f>
        <v>18965</v>
      </c>
      <c r="C3" s="35">
        <f>Raw_Data!C3</f>
        <v>18167</v>
      </c>
      <c r="D3" s="35">
        <f>Raw_Data!D3</f>
        <v>798</v>
      </c>
      <c r="E3">
        <f>IFERROR(Raw_Data!D3/Raw_Data!B3,0)</f>
        <v>4.2077511204851044E-2</v>
      </c>
      <c r="F3" s="36">
        <f>Raw_Data!F3</f>
        <v>0.82299999999999995</v>
      </c>
      <c r="G3" s="37">
        <f>Raw_Data!G3</f>
        <v>4.3</v>
      </c>
      <c r="H3" s="36">
        <f>Raw_Data!J3</f>
        <v>0.82299999999999995</v>
      </c>
      <c r="I3" s="38">
        <f>Raw_Data!O3</f>
        <v>12339767</v>
      </c>
      <c r="J3" s="35">
        <f>Raw_Data!M3</f>
        <v>81</v>
      </c>
    </row>
    <row r="4" spans="1:10" x14ac:dyDescent="0.25">
      <c r="A4" t="str">
        <f>Raw_Data!A4</f>
        <v>Mar-24</v>
      </c>
      <c r="B4" s="35">
        <f>Raw_Data!B4</f>
        <v>17893</v>
      </c>
      <c r="C4" s="35">
        <f>Raw_Data!C4</f>
        <v>16780</v>
      </c>
      <c r="D4" s="35">
        <f>Raw_Data!D4</f>
        <v>1113</v>
      </c>
      <c r="E4">
        <f>IFERROR(Raw_Data!D4/Raw_Data!B4,0)</f>
        <v>6.2203096182864806E-2</v>
      </c>
      <c r="F4" s="36">
        <f>Raw_Data!F4</f>
        <v>0.871</v>
      </c>
      <c r="G4" s="37">
        <f>Raw_Data!G4</f>
        <v>3.7</v>
      </c>
      <c r="H4" s="36">
        <f>Raw_Data!J4</f>
        <v>0.74199999999999999</v>
      </c>
      <c r="I4" s="38">
        <f>Raw_Data!O4</f>
        <v>12513525</v>
      </c>
      <c r="J4" s="35">
        <f>Raw_Data!M4</f>
        <v>147</v>
      </c>
    </row>
    <row r="5" spans="1:10" x14ac:dyDescent="0.25">
      <c r="A5" t="str">
        <f>Raw_Data!A5</f>
        <v>Apr-24</v>
      </c>
      <c r="B5" s="35">
        <f>Raw_Data!B5</f>
        <v>18696</v>
      </c>
      <c r="C5" s="35">
        <f>Raw_Data!C5</f>
        <v>17762</v>
      </c>
      <c r="D5" s="35">
        <f>Raw_Data!D5</f>
        <v>934</v>
      </c>
      <c r="E5">
        <f>IFERROR(Raw_Data!D5/Raw_Data!B5,0)</f>
        <v>4.9957210098416777E-2</v>
      </c>
      <c r="F5" s="36">
        <f>Raw_Data!F5</f>
        <v>0.69599999999999995</v>
      </c>
      <c r="G5" s="37">
        <f>Raw_Data!G5</f>
        <v>3.7</v>
      </c>
      <c r="H5" s="36">
        <f>Raw_Data!J5</f>
        <v>0.85299999999999998</v>
      </c>
      <c r="I5" s="38">
        <f>Raw_Data!O5</f>
        <v>12751876</v>
      </c>
      <c r="J5" s="35">
        <f>Raw_Data!M5</f>
        <v>249</v>
      </c>
    </row>
    <row r="6" spans="1:10" x14ac:dyDescent="0.25">
      <c r="A6" t="str">
        <f>Raw_Data!A6</f>
        <v>May-24</v>
      </c>
      <c r="B6" s="35">
        <f>Raw_Data!B6</f>
        <v>16826</v>
      </c>
      <c r="C6" s="35">
        <f>Raw_Data!C6</f>
        <v>15002</v>
      </c>
      <c r="D6" s="35">
        <f>Raw_Data!D6</f>
        <v>1824</v>
      </c>
      <c r="E6">
        <f>IFERROR(Raw_Data!D6/Raw_Data!B6,0)</f>
        <v>0.10840366100083204</v>
      </c>
      <c r="F6" s="36">
        <f>Raw_Data!F6</f>
        <v>0.7</v>
      </c>
      <c r="G6" s="37">
        <f>Raw_Data!G6</f>
        <v>3.6</v>
      </c>
      <c r="H6" s="36">
        <f>Raw_Data!J6</f>
        <v>0.75700000000000001</v>
      </c>
      <c r="I6" s="38">
        <f>Raw_Data!O6</f>
        <v>11850221</v>
      </c>
      <c r="J6" s="35">
        <f>Raw_Data!M6</f>
        <v>148</v>
      </c>
    </row>
    <row r="7" spans="1:10" x14ac:dyDescent="0.25">
      <c r="A7" t="str">
        <f>Raw_Data!A7</f>
        <v>Jun-24</v>
      </c>
      <c r="B7" s="35">
        <f>Raw_Data!B7</f>
        <v>17200</v>
      </c>
      <c r="C7" s="35">
        <f>Raw_Data!C7</f>
        <v>15778</v>
      </c>
      <c r="D7" s="35">
        <f>Raw_Data!D7</f>
        <v>1422</v>
      </c>
      <c r="E7">
        <f>IFERROR(Raw_Data!D7/Raw_Data!B7,0)</f>
        <v>8.2674418604651162E-2</v>
      </c>
      <c r="F7" s="36">
        <f>Raw_Data!F7</f>
        <v>0.71299999999999997</v>
      </c>
      <c r="G7" s="37">
        <f>Raw_Data!G7</f>
        <v>3.8</v>
      </c>
      <c r="H7" s="36">
        <f>Raw_Data!J7</f>
        <v>0.877</v>
      </c>
      <c r="I7" s="38">
        <f>Raw_Data!O7</f>
        <v>13019914</v>
      </c>
      <c r="J7" s="35">
        <f>Raw_Data!M7</f>
        <v>94</v>
      </c>
    </row>
    <row r="8" spans="1:10" x14ac:dyDescent="0.25">
      <c r="A8" t="str">
        <f>Raw_Data!A8</f>
        <v>Jul-24</v>
      </c>
      <c r="B8" s="35">
        <f>Raw_Data!B8</f>
        <v>19797</v>
      </c>
      <c r="C8" s="35">
        <f>Raw_Data!C8</f>
        <v>18506</v>
      </c>
      <c r="D8" s="35">
        <f>Raw_Data!D8</f>
        <v>1291</v>
      </c>
      <c r="E8">
        <f>IFERROR(Raw_Data!D8/Raw_Data!B8,0)</f>
        <v>6.5211900793049449E-2</v>
      </c>
      <c r="F8" s="36">
        <f>Raw_Data!F8</f>
        <v>0.69299999999999995</v>
      </c>
      <c r="G8" s="37">
        <f>Raw_Data!G8</f>
        <v>4.7</v>
      </c>
      <c r="H8" s="36">
        <f>Raw_Data!J8</f>
        <v>0.76900000000000002</v>
      </c>
      <c r="I8" s="38">
        <f>Raw_Data!O8</f>
        <v>9285794</v>
      </c>
      <c r="J8" s="35">
        <f>Raw_Data!M8</f>
        <v>244</v>
      </c>
    </row>
    <row r="9" spans="1:10" x14ac:dyDescent="0.25">
      <c r="A9" t="str">
        <f>Raw_Data!A9</f>
        <v>Aug-24</v>
      </c>
      <c r="B9" s="35">
        <f>Raw_Data!B9</f>
        <v>17071</v>
      </c>
      <c r="C9" s="35">
        <f>Raw_Data!C9</f>
        <v>16052</v>
      </c>
      <c r="D9" s="35">
        <f>Raw_Data!D9</f>
        <v>1019</v>
      </c>
      <c r="E9">
        <f>IFERROR(Raw_Data!D9/Raw_Data!B9,0)</f>
        <v>5.9691875109835396E-2</v>
      </c>
      <c r="F9" s="36">
        <f>Raw_Data!F9</f>
        <v>0.78800000000000003</v>
      </c>
      <c r="G9" s="37">
        <f>Raw_Data!G9</f>
        <v>4.4000000000000004</v>
      </c>
      <c r="H9" s="36">
        <f>Raw_Data!J9</f>
        <v>0.80300000000000005</v>
      </c>
      <c r="I9" s="38">
        <f>Raw_Data!O9</f>
        <v>9000002</v>
      </c>
      <c r="J9" s="35">
        <f>Raw_Data!M9</f>
        <v>210</v>
      </c>
    </row>
    <row r="10" spans="1:10" x14ac:dyDescent="0.25">
      <c r="A10" t="str">
        <f>Raw_Data!A10</f>
        <v>Sep-24</v>
      </c>
      <c r="B10" s="35">
        <f>Raw_Data!B10</f>
        <v>16692</v>
      </c>
      <c r="C10" s="35">
        <f>Raw_Data!C10</f>
        <v>14875</v>
      </c>
      <c r="D10" s="35">
        <f>Raw_Data!D10</f>
        <v>1817</v>
      </c>
      <c r="E10">
        <f>IFERROR(Raw_Data!D10/Raw_Data!B10,0)</f>
        <v>0.10885454109753175</v>
      </c>
      <c r="F10" s="36">
        <f>Raw_Data!F10</f>
        <v>0.80500000000000005</v>
      </c>
      <c r="G10" s="37">
        <f>Raw_Data!G10</f>
        <v>4.5</v>
      </c>
      <c r="H10" s="36">
        <f>Raw_Data!J10</f>
        <v>0.80800000000000005</v>
      </c>
      <c r="I10" s="38">
        <f>Raw_Data!O10</f>
        <v>13840931</v>
      </c>
      <c r="J10" s="35">
        <f>Raw_Data!M10</f>
        <v>215</v>
      </c>
    </row>
    <row r="11" spans="1:10" x14ac:dyDescent="0.25">
      <c r="A11" t="str">
        <f>Raw_Data!A11</f>
        <v>Oct-24</v>
      </c>
      <c r="B11" s="35">
        <f>Raw_Data!B11</f>
        <v>20025</v>
      </c>
      <c r="C11" s="35">
        <f>Raw_Data!C11</f>
        <v>17715</v>
      </c>
      <c r="D11" s="35">
        <f>Raw_Data!D11</f>
        <v>2310</v>
      </c>
      <c r="E11">
        <f>IFERROR(Raw_Data!D11/Raw_Data!B11,0)</f>
        <v>0.11535580524344569</v>
      </c>
      <c r="F11" s="36">
        <f>Raw_Data!F11</f>
        <v>0.82399999999999995</v>
      </c>
      <c r="G11" s="37">
        <f>Raw_Data!G11</f>
        <v>4.3</v>
      </c>
      <c r="H11" s="36">
        <f>Raw_Data!J11</f>
        <v>0.89700000000000002</v>
      </c>
      <c r="I11" s="38">
        <f>Raw_Data!O11</f>
        <v>10995480</v>
      </c>
      <c r="J11" s="35">
        <f>Raw_Data!M11</f>
        <v>191</v>
      </c>
    </row>
    <row r="12" spans="1:10" x14ac:dyDescent="0.25">
      <c r="A12" t="str">
        <f>Raw_Data!A12</f>
        <v>Nov-24</v>
      </c>
      <c r="B12" s="35">
        <f>Raw_Data!B12</f>
        <v>20406</v>
      </c>
      <c r="C12" s="35">
        <f>Raw_Data!C12</f>
        <v>18411</v>
      </c>
      <c r="D12" s="35">
        <f>Raw_Data!D12</f>
        <v>1995</v>
      </c>
      <c r="E12">
        <f>IFERROR(Raw_Data!D12/Raw_Data!B12,0)</f>
        <v>9.7765363128491614E-2</v>
      </c>
      <c r="F12" s="36">
        <f>Raw_Data!F12</f>
        <v>0.73299999999999998</v>
      </c>
      <c r="G12" s="37">
        <f>Raw_Data!G12</f>
        <v>4</v>
      </c>
      <c r="H12" s="36">
        <f>Raw_Data!J12</f>
        <v>0.93</v>
      </c>
      <c r="I12" s="38">
        <f>Raw_Data!O12</f>
        <v>11849336</v>
      </c>
      <c r="J12" s="35">
        <f>Raw_Data!M12</f>
        <v>295</v>
      </c>
    </row>
    <row r="13" spans="1:10" x14ac:dyDescent="0.25">
      <c r="A13" t="str">
        <f>Raw_Data!A13</f>
        <v>Dec-24</v>
      </c>
      <c r="B13" s="35">
        <f>Raw_Data!B13</f>
        <v>17126</v>
      </c>
      <c r="C13" s="35">
        <f>Raw_Data!C13</f>
        <v>15929</v>
      </c>
      <c r="D13" s="35">
        <f>Raw_Data!D13</f>
        <v>1197</v>
      </c>
      <c r="E13">
        <f>IFERROR(Raw_Data!D13/Raw_Data!B13,0)</f>
        <v>6.9893728833352792E-2</v>
      </c>
      <c r="F13" s="36">
        <f>Raw_Data!F13</f>
        <v>0.78800000000000003</v>
      </c>
      <c r="G13" s="37">
        <f>Raw_Data!G13</f>
        <v>4.4000000000000004</v>
      </c>
      <c r="H13" s="36">
        <f>Raw_Data!J13</f>
        <v>0.85799999999999998</v>
      </c>
      <c r="I13" s="38">
        <f>Raw_Data!O13</f>
        <v>9816988</v>
      </c>
      <c r="J13" s="35">
        <f>Raw_Data!M13</f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J24"/>
  <sheetViews>
    <sheetView topLeftCell="A6" zoomScaleNormal="100" workbookViewId="0">
      <selection activeCell="M17" sqref="M17"/>
    </sheetView>
  </sheetViews>
  <sheetFormatPr defaultColWidth="8.7109375" defaultRowHeight="15" x14ac:dyDescent="0.25"/>
  <cols>
    <col min="1" max="1" width="22" customWidth="1"/>
    <col min="2" max="2" width="10" customWidth="1"/>
    <col min="3" max="3" width="14" customWidth="1"/>
    <col min="4" max="4" width="10" customWidth="1"/>
    <col min="5" max="5" width="12" customWidth="1"/>
    <col min="6" max="6" width="10" customWidth="1"/>
    <col min="7" max="7" width="12" customWidth="1"/>
    <col min="8" max="9" width="13" customWidth="1"/>
    <col min="10" max="10" width="20.28515625" bestFit="1" customWidth="1"/>
  </cols>
  <sheetData>
    <row r="1" spans="1:10" ht="18" x14ac:dyDescent="0.25">
      <c r="A1" s="43" t="s">
        <v>45</v>
      </c>
      <c r="B1" s="43"/>
      <c r="C1" s="43"/>
      <c r="D1" s="43"/>
      <c r="E1" s="43"/>
      <c r="F1" s="43"/>
      <c r="G1" s="43"/>
      <c r="H1" s="43"/>
      <c r="I1" s="43"/>
      <c r="J1" s="43"/>
    </row>
    <row r="3" spans="1:10" ht="25.5" x14ac:dyDescent="0.25">
      <c r="A3" s="26" t="s">
        <v>67</v>
      </c>
      <c r="B3" s="26" t="s">
        <v>46</v>
      </c>
      <c r="C3" s="26" t="s">
        <v>47</v>
      </c>
      <c r="D3" s="26" t="s">
        <v>33</v>
      </c>
      <c r="E3" s="26" t="s">
        <v>48</v>
      </c>
      <c r="F3" s="26" t="s">
        <v>32</v>
      </c>
      <c r="G3" s="26" t="s">
        <v>38</v>
      </c>
      <c r="H3" s="26" t="s">
        <v>13</v>
      </c>
      <c r="I3" s="26" t="s">
        <v>14</v>
      </c>
      <c r="J3" s="26" t="s">
        <v>49</v>
      </c>
    </row>
    <row r="4" spans="1:10" x14ac:dyDescent="0.25">
      <c r="A4" s="39" t="s">
        <v>68</v>
      </c>
      <c r="B4" s="16" t="s">
        <v>50</v>
      </c>
      <c r="C4" s="17">
        <v>1627</v>
      </c>
      <c r="D4" s="18">
        <v>0.73299999999999998</v>
      </c>
      <c r="E4" s="19">
        <v>4.2</v>
      </c>
      <c r="F4" s="17">
        <v>238</v>
      </c>
      <c r="G4" s="18">
        <v>0.72499999999999998</v>
      </c>
      <c r="H4" s="17">
        <v>53</v>
      </c>
      <c r="I4" s="17">
        <v>7</v>
      </c>
      <c r="J4" s="16" t="str">
        <f>IF(E4&gt;=4.5," Top Performer",IF(E4&gt;=3.5," Meets Target",IF(E4&gt;=2.5,"Needs Coaching","Under Review")))</f>
        <v xml:space="preserve"> Meets Target</v>
      </c>
    </row>
    <row r="5" spans="1:10" x14ac:dyDescent="0.25">
      <c r="A5" s="39" t="s">
        <v>69</v>
      </c>
      <c r="B5" s="21" t="s">
        <v>51</v>
      </c>
      <c r="C5" s="22">
        <v>1584</v>
      </c>
      <c r="D5" s="23">
        <v>0.78600000000000003</v>
      </c>
      <c r="E5" s="24">
        <v>4.4000000000000004</v>
      </c>
      <c r="F5" s="22">
        <v>202</v>
      </c>
      <c r="G5" s="23">
        <v>0.93200000000000005</v>
      </c>
      <c r="H5" s="22">
        <v>36</v>
      </c>
      <c r="I5" s="22">
        <v>14</v>
      </c>
      <c r="J5" s="16" t="str">
        <f t="shared" ref="J5:J23" si="0">IF(E5&gt;=4.5," Top Performer",IF(E5&gt;=3.5," Meets Target",IF(E5&gt;=2.5,"Needs Coaching","Under Review")))</f>
        <v xml:space="preserve"> Meets Target</v>
      </c>
    </row>
    <row r="6" spans="1:10" x14ac:dyDescent="0.25">
      <c r="A6" s="39" t="s">
        <v>70</v>
      </c>
      <c r="B6" s="16" t="s">
        <v>52</v>
      </c>
      <c r="C6" s="17">
        <v>2055</v>
      </c>
      <c r="D6" s="18">
        <v>0.80600000000000005</v>
      </c>
      <c r="E6" s="19">
        <v>4.5999999999999996</v>
      </c>
      <c r="F6" s="17">
        <v>275</v>
      </c>
      <c r="G6" s="18">
        <v>0.89700000000000002</v>
      </c>
      <c r="H6" s="17">
        <v>60</v>
      </c>
      <c r="I6" s="17">
        <v>15</v>
      </c>
      <c r="J6" s="16" t="str">
        <f t="shared" si="0"/>
        <v xml:space="preserve"> Top Performer</v>
      </c>
    </row>
    <row r="7" spans="1:10" x14ac:dyDescent="0.25">
      <c r="A7" s="39" t="s">
        <v>71</v>
      </c>
      <c r="B7" s="21" t="s">
        <v>53</v>
      </c>
      <c r="C7" s="22">
        <v>1745</v>
      </c>
      <c r="D7" s="23">
        <v>0.83099999999999996</v>
      </c>
      <c r="E7" s="24">
        <v>4.7</v>
      </c>
      <c r="F7" s="22">
        <v>266</v>
      </c>
      <c r="G7" s="23">
        <v>0.67500000000000004</v>
      </c>
      <c r="H7" s="22">
        <v>50</v>
      </c>
      <c r="I7" s="22">
        <v>35</v>
      </c>
      <c r="J7" s="16" t="str">
        <f t="shared" si="0"/>
        <v xml:space="preserve"> Top Performer</v>
      </c>
    </row>
    <row r="8" spans="1:10" x14ac:dyDescent="0.25">
      <c r="A8" s="39" t="s">
        <v>72</v>
      </c>
      <c r="B8" s="16" t="s">
        <v>53</v>
      </c>
      <c r="C8" s="17">
        <v>1760</v>
      </c>
      <c r="D8" s="18">
        <v>0.71099999999999997</v>
      </c>
      <c r="E8" s="19">
        <v>3.1</v>
      </c>
      <c r="F8" s="17">
        <v>322</v>
      </c>
      <c r="G8" s="18">
        <v>0.65200000000000002</v>
      </c>
      <c r="H8" s="17">
        <v>18</v>
      </c>
      <c r="I8" s="17">
        <v>25</v>
      </c>
      <c r="J8" s="16" t="str">
        <f t="shared" si="0"/>
        <v>Needs Coaching</v>
      </c>
    </row>
    <row r="9" spans="1:10" x14ac:dyDescent="0.25">
      <c r="A9" s="39" t="s">
        <v>73</v>
      </c>
      <c r="B9" s="21" t="s">
        <v>52</v>
      </c>
      <c r="C9" s="22">
        <v>1746</v>
      </c>
      <c r="D9" s="23">
        <v>0.78200000000000003</v>
      </c>
      <c r="E9" s="24">
        <v>3.4</v>
      </c>
      <c r="F9" s="22">
        <v>298</v>
      </c>
      <c r="G9" s="23">
        <v>0.94299999999999995</v>
      </c>
      <c r="H9" s="22">
        <v>27</v>
      </c>
      <c r="I9" s="22">
        <v>10</v>
      </c>
      <c r="J9" s="16" t="str">
        <f t="shared" si="0"/>
        <v>Needs Coaching</v>
      </c>
    </row>
    <row r="10" spans="1:10" x14ac:dyDescent="0.25">
      <c r="A10" s="39" t="s">
        <v>74</v>
      </c>
      <c r="B10" s="16" t="s">
        <v>53</v>
      </c>
      <c r="C10" s="17">
        <v>1129</v>
      </c>
      <c r="D10" s="18">
        <v>0.86199999999999999</v>
      </c>
      <c r="E10" s="19">
        <v>3.9</v>
      </c>
      <c r="F10" s="17">
        <v>225</v>
      </c>
      <c r="G10" s="18">
        <v>0.93300000000000005</v>
      </c>
      <c r="H10" s="17">
        <v>47</v>
      </c>
      <c r="I10" s="17">
        <v>13</v>
      </c>
      <c r="J10" s="16" t="str">
        <f t="shared" si="0"/>
        <v xml:space="preserve"> Meets Target</v>
      </c>
    </row>
    <row r="11" spans="1:10" x14ac:dyDescent="0.25">
      <c r="A11" s="39" t="s">
        <v>75</v>
      </c>
      <c r="B11" s="21" t="s">
        <v>52</v>
      </c>
      <c r="C11" s="22">
        <v>1024</v>
      </c>
      <c r="D11" s="23">
        <v>0.60799999999999998</v>
      </c>
      <c r="E11" s="24">
        <v>3.9</v>
      </c>
      <c r="F11" s="22">
        <v>287</v>
      </c>
      <c r="G11" s="23">
        <v>0.67400000000000004</v>
      </c>
      <c r="H11" s="22">
        <v>32</v>
      </c>
      <c r="I11" s="22">
        <v>7</v>
      </c>
      <c r="J11" s="16" t="str">
        <f t="shared" si="0"/>
        <v xml:space="preserve"> Meets Target</v>
      </c>
    </row>
    <row r="12" spans="1:10" x14ac:dyDescent="0.25">
      <c r="A12" s="39" t="s">
        <v>76</v>
      </c>
      <c r="B12" s="16" t="s">
        <v>52</v>
      </c>
      <c r="C12" s="17">
        <v>1434</v>
      </c>
      <c r="D12" s="18">
        <v>0.81599999999999995</v>
      </c>
      <c r="E12" s="19">
        <v>3.8</v>
      </c>
      <c r="F12" s="17">
        <v>214</v>
      </c>
      <c r="G12" s="18">
        <v>0.80700000000000005</v>
      </c>
      <c r="H12" s="17">
        <v>17</v>
      </c>
      <c r="I12" s="17">
        <v>5</v>
      </c>
      <c r="J12" s="16" t="str">
        <f t="shared" si="0"/>
        <v xml:space="preserve"> Meets Target</v>
      </c>
    </row>
    <row r="13" spans="1:10" x14ac:dyDescent="0.25">
      <c r="A13" s="39" t="s">
        <v>77</v>
      </c>
      <c r="B13" s="21" t="s">
        <v>53</v>
      </c>
      <c r="C13" s="22">
        <v>1707</v>
      </c>
      <c r="D13" s="23">
        <v>0.69</v>
      </c>
      <c r="E13" s="24">
        <v>3.8</v>
      </c>
      <c r="F13" s="22">
        <v>212</v>
      </c>
      <c r="G13" s="23">
        <v>0.75600000000000001</v>
      </c>
      <c r="H13" s="22">
        <v>49</v>
      </c>
      <c r="I13" s="22">
        <v>32</v>
      </c>
      <c r="J13" s="16" t="str">
        <f t="shared" si="0"/>
        <v xml:space="preserve"> Meets Target</v>
      </c>
    </row>
    <row r="14" spans="1:10" x14ac:dyDescent="0.25">
      <c r="A14" s="39" t="s">
        <v>78</v>
      </c>
      <c r="B14" s="16" t="s">
        <v>53</v>
      </c>
      <c r="C14" s="17">
        <v>1068</v>
      </c>
      <c r="D14" s="18">
        <v>0.85799999999999998</v>
      </c>
      <c r="E14" s="19">
        <v>4.4000000000000004</v>
      </c>
      <c r="F14" s="17">
        <v>218</v>
      </c>
      <c r="G14" s="18">
        <v>0.83199999999999996</v>
      </c>
      <c r="H14" s="17">
        <v>31</v>
      </c>
      <c r="I14" s="17">
        <v>9</v>
      </c>
      <c r="J14" s="16" t="str">
        <f t="shared" si="0"/>
        <v xml:space="preserve"> Meets Target</v>
      </c>
    </row>
    <row r="15" spans="1:10" x14ac:dyDescent="0.25">
      <c r="A15" s="39" t="s">
        <v>79</v>
      </c>
      <c r="B15" s="21" t="s">
        <v>50</v>
      </c>
      <c r="C15" s="22">
        <v>1043</v>
      </c>
      <c r="D15" s="23">
        <v>0.65</v>
      </c>
      <c r="E15" s="24">
        <v>3.3</v>
      </c>
      <c r="F15" s="22">
        <v>225</v>
      </c>
      <c r="G15" s="23">
        <v>0.77300000000000002</v>
      </c>
      <c r="H15" s="22">
        <v>18</v>
      </c>
      <c r="I15" s="22">
        <v>37</v>
      </c>
      <c r="J15" s="16" t="str">
        <f t="shared" si="0"/>
        <v>Needs Coaching</v>
      </c>
    </row>
    <row r="16" spans="1:10" x14ac:dyDescent="0.25">
      <c r="A16" s="39" t="s">
        <v>80</v>
      </c>
      <c r="B16" s="16" t="s">
        <v>53</v>
      </c>
      <c r="C16" s="17">
        <v>1822</v>
      </c>
      <c r="D16" s="18">
        <v>0.879</v>
      </c>
      <c r="E16" s="19">
        <v>4.7</v>
      </c>
      <c r="F16" s="17">
        <v>210</v>
      </c>
      <c r="G16" s="18">
        <v>0.90700000000000003</v>
      </c>
      <c r="H16" s="17">
        <v>28</v>
      </c>
      <c r="I16" s="17">
        <v>13</v>
      </c>
      <c r="J16" s="16" t="str">
        <f t="shared" si="0"/>
        <v xml:space="preserve"> Top Performer</v>
      </c>
    </row>
    <row r="17" spans="1:10" x14ac:dyDescent="0.25">
      <c r="A17" s="39" t="s">
        <v>81</v>
      </c>
      <c r="B17" s="21" t="s">
        <v>50</v>
      </c>
      <c r="C17" s="22">
        <v>1826</v>
      </c>
      <c r="D17" s="23">
        <v>0.70099999999999996</v>
      </c>
      <c r="E17" s="24">
        <v>4.2</v>
      </c>
      <c r="F17" s="22">
        <v>192</v>
      </c>
      <c r="G17" s="23">
        <v>0.751</v>
      </c>
      <c r="H17" s="22">
        <v>29</v>
      </c>
      <c r="I17" s="22">
        <v>27</v>
      </c>
      <c r="J17" s="16" t="str">
        <f t="shared" si="0"/>
        <v xml:space="preserve"> Meets Target</v>
      </c>
    </row>
    <row r="18" spans="1:10" x14ac:dyDescent="0.25">
      <c r="A18" s="39" t="s">
        <v>82</v>
      </c>
      <c r="B18" s="16" t="s">
        <v>51</v>
      </c>
      <c r="C18" s="17">
        <v>1617</v>
      </c>
      <c r="D18" s="18">
        <v>0.73499999999999999</v>
      </c>
      <c r="E18" s="19">
        <v>4.5999999999999996</v>
      </c>
      <c r="F18" s="17">
        <v>316</v>
      </c>
      <c r="G18" s="18">
        <v>0.67800000000000005</v>
      </c>
      <c r="H18" s="17">
        <v>7</v>
      </c>
      <c r="I18" s="17">
        <v>25</v>
      </c>
      <c r="J18" s="16" t="str">
        <f t="shared" si="0"/>
        <v xml:space="preserve"> Top Performer</v>
      </c>
    </row>
    <row r="19" spans="1:10" x14ac:dyDescent="0.25">
      <c r="A19" s="39" t="s">
        <v>83</v>
      </c>
      <c r="B19" s="21" t="s">
        <v>50</v>
      </c>
      <c r="C19" s="22">
        <v>1709</v>
      </c>
      <c r="D19" s="23">
        <v>0.68100000000000005</v>
      </c>
      <c r="E19" s="24">
        <v>4.7</v>
      </c>
      <c r="F19" s="22">
        <v>237</v>
      </c>
      <c r="G19" s="23">
        <v>0.84599999999999997</v>
      </c>
      <c r="H19" s="22">
        <v>24</v>
      </c>
      <c r="I19" s="22">
        <v>8</v>
      </c>
      <c r="J19" s="16" t="str">
        <f t="shared" si="0"/>
        <v xml:space="preserve"> Top Performer</v>
      </c>
    </row>
    <row r="20" spans="1:10" x14ac:dyDescent="0.25">
      <c r="A20" s="39" t="s">
        <v>84</v>
      </c>
      <c r="B20" s="16" t="s">
        <v>51</v>
      </c>
      <c r="C20" s="17">
        <v>1247</v>
      </c>
      <c r="D20" s="18">
        <v>0.86699999999999999</v>
      </c>
      <c r="E20" s="19">
        <v>4.4000000000000004</v>
      </c>
      <c r="F20" s="17">
        <v>243</v>
      </c>
      <c r="G20" s="18">
        <v>0.76500000000000001</v>
      </c>
      <c r="H20" s="17">
        <v>33</v>
      </c>
      <c r="I20" s="17">
        <v>7</v>
      </c>
      <c r="J20" s="16" t="str">
        <f t="shared" si="0"/>
        <v xml:space="preserve"> Meets Target</v>
      </c>
    </row>
    <row r="21" spans="1:10" x14ac:dyDescent="0.25">
      <c r="A21" s="39" t="s">
        <v>85</v>
      </c>
      <c r="B21" s="21" t="s">
        <v>51</v>
      </c>
      <c r="C21" s="22">
        <v>1662</v>
      </c>
      <c r="D21" s="23">
        <v>0.93700000000000006</v>
      </c>
      <c r="E21" s="24">
        <v>3.5</v>
      </c>
      <c r="F21" s="22">
        <v>308</v>
      </c>
      <c r="G21" s="23">
        <v>0.73799999999999999</v>
      </c>
      <c r="H21" s="22">
        <v>48</v>
      </c>
      <c r="I21" s="22">
        <v>22</v>
      </c>
      <c r="J21" s="16" t="str">
        <f t="shared" si="0"/>
        <v xml:space="preserve"> Meets Target</v>
      </c>
    </row>
    <row r="22" spans="1:10" x14ac:dyDescent="0.25">
      <c r="A22" s="39" t="s">
        <v>86</v>
      </c>
      <c r="B22" s="16" t="s">
        <v>50</v>
      </c>
      <c r="C22" s="17">
        <v>1892</v>
      </c>
      <c r="D22" s="18">
        <v>0.64500000000000002</v>
      </c>
      <c r="E22" s="19">
        <v>4.8</v>
      </c>
      <c r="F22" s="17">
        <v>290</v>
      </c>
      <c r="G22" s="18">
        <v>0.91400000000000003</v>
      </c>
      <c r="H22" s="17">
        <v>31</v>
      </c>
      <c r="I22" s="17">
        <v>12</v>
      </c>
      <c r="J22" s="16" t="str">
        <f t="shared" si="0"/>
        <v xml:space="preserve"> Top Performer</v>
      </c>
    </row>
    <row r="23" spans="1:10" x14ac:dyDescent="0.25">
      <c r="A23" s="39" t="s">
        <v>87</v>
      </c>
      <c r="B23" s="21" t="s">
        <v>51</v>
      </c>
      <c r="C23" s="22">
        <v>1576</v>
      </c>
      <c r="D23" s="23">
        <v>0.83699999999999997</v>
      </c>
      <c r="E23" s="24">
        <v>4.2</v>
      </c>
      <c r="F23" s="22">
        <v>338</v>
      </c>
      <c r="G23" s="23">
        <v>0.85</v>
      </c>
      <c r="H23" s="22">
        <v>33</v>
      </c>
      <c r="I23" s="22">
        <v>14</v>
      </c>
      <c r="J23" s="16" t="str">
        <f t="shared" si="0"/>
        <v xml:space="preserve"> Meets Target</v>
      </c>
    </row>
    <row r="24" spans="1:10" x14ac:dyDescent="0.25">
      <c r="A24" s="40" t="s">
        <v>54</v>
      </c>
      <c r="C24" s="31">
        <f>AVERAGE(C4:C23)</f>
        <v>1563.65</v>
      </c>
      <c r="D24" s="32">
        <f>AVERAGE(D4:D23)</f>
        <v>0.77075000000000005</v>
      </c>
      <c r="E24" s="33">
        <f>AVERAGE(E4:E23)</f>
        <v>4.1300000000000008</v>
      </c>
      <c r="F24" s="31">
        <f>AVERAGE(F4:F23)</f>
        <v>255.8</v>
      </c>
      <c r="G24" s="32">
        <f>AVERAGE(G4:G23)</f>
        <v>0.80240000000000011</v>
      </c>
      <c r="H24" s="31">
        <f>SUM(H4:H23)</f>
        <v>671</v>
      </c>
      <c r="I24" s="31">
        <f>SUM(I4:I23)</f>
        <v>337</v>
      </c>
    </row>
  </sheetData>
  <mergeCells count="1">
    <mergeCell ref="A1:J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Raw_Data</vt:lpstr>
      <vt:lpstr>KPI_Summary</vt:lpstr>
      <vt:lpstr>Chart_Data</vt:lpstr>
      <vt:lpstr>Agent_Performance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mary</cp:lastModifiedBy>
  <cp:revision>1</cp:revision>
  <dcterms:created xsi:type="dcterms:W3CDTF">2026-06-15T11:24:21Z</dcterms:created>
  <dcterms:modified xsi:type="dcterms:W3CDTF">2026-06-15T13:19:40Z</dcterms:modified>
  <dc:language>en-US</dc:language>
</cp:coreProperties>
</file>